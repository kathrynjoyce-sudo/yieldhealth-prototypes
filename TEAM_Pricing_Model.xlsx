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ssumptions" sheetId="2" state="visible" r:id="rId4"/>
    <sheet name="Unit Economics" sheetId="3" state="visible" r:id="rId5"/>
    <sheet name="3-Year Build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<sst xmlns="http://schemas.openxmlformats.org/spreadsheetml/2006/main" count="189" uniqueCount="155">
  <si>
    <t xml:space="preserve">YIELD HEALTHCARE — TEAM EPISODE MANAGEMENT PRICING MODEL</t>
  </si>
  <si>
    <t xml:space="preserve">This workbook models three service tiers for Yield Healthcare, a company managing hospitals through CMS's mandatory Transforming Episode Accountability Model (TEAM).</t>
  </si>
  <si>
    <t xml:space="preserve">Tabs:</t>
  </si>
  <si>
    <t xml:space="preserve">  Assumptions — every input the model runs on (episode pricing, hospital sizing, tier pricing, staffing costs, CMS billing rates, customer acquisition plan). Blue text = editable input.</t>
  </si>
  <si>
    <t xml:space="preserve">  Unit Economics — per-hospital revenue, cost, and margin for each tier at Small / Medium / Large hospital size, plus a size-blended figure.</t>
  </si>
  <si>
    <t xml:space="preserve">  3-Year Build — customer count ramp by tier and year, driving total revenue, cost, and gross profit.</t>
  </si>
  <si>
    <t xml:space="preserve">  Summary — company-level rollup and a revenue-by-tier chart.</t>
  </si>
  <si>
    <t xml:space="preserve">How to use it: change any blue cell on the Assumptions tab and every other tab recalculates. All dollar figures are illustrative planning assumptions unless a source is cited in an adjacent note — this is a planning model, not a quote or a filed rate schedule.</t>
  </si>
  <si>
    <t xml:space="preserve">Sourced figures (verified July 2026): CMS TEAM final rule structure (188 CBSAs, ~741 mandated hospitals, 5 episode types, 3 participation tracks); 2026 Medicare Physician Fee Schedule national average rates for CPT 99495/99496 (Transitional Care Management), CPT 99490 (Chronic Care Management), and HCPCS G0023/G0024 (Principal Illness Navigation). Everything else — target prices, take rates, staffing ratios, customer ramp — is a labeled planning assumption for Yield Healthcare to refine with real data.</t>
  </si>
  <si>
    <t xml:space="preserve">ASSUMPTIONS</t>
  </si>
  <si>
    <t xml:space="preserve">1. EPISODE ECONOMICS (per TEAM episode)</t>
  </si>
  <si>
    <t xml:space="preserve">Episode Type</t>
  </si>
  <si>
    <t xml:space="preserve">Target Price ($)</t>
  </si>
  <si>
    <t xml:space="preserve">Volume Mix (%)</t>
  </si>
  <si>
    <t xml:space="preserve">Lower extremity joint replacement (LEJR)</t>
  </si>
  <si>
    <t xml:space="preserve">Surgical hip/femur fracture (SHFFT)</t>
  </si>
  <si>
    <t xml:space="preserve">Spinal fusion</t>
  </si>
  <si>
    <t xml:space="preserve">Coronary artery bypass graft (CABG)</t>
  </si>
  <si>
    <t xml:space="preserve">Major bowel procedure</t>
  </si>
  <si>
    <t xml:space="preserve">Blended weighted average target price / mix check</t>
  </si>
  <si>
    <t xml:space="preserve">Target prices are illustrative planning assumptions consistent with historical BPCI/CJR episode benchmarks and CMS's reported ~$18B / ~900K episodes (~$20K blended, all sites). Confirm against actual regional TEAM target prices once published for your markets.</t>
  </si>
  <si>
    <t xml:space="preserve">Standard-complexity share (LEJR + SHFFT + Major Bowel)</t>
  </si>
  <si>
    <t xml:space="preserve">High-complexity share (Spinal Fusion + CABG)</t>
  </si>
  <si>
    <t xml:space="preserve">2. HOSPITAL SIZE TIERS</t>
  </si>
  <si>
    <t xml:space="preserve">Size Tier</t>
  </si>
  <si>
    <t xml:space="preserve">Annual TEAM Episodes</t>
  </si>
  <si>
    <t xml:space="preserve">Share of 741 Hospitals</t>
  </si>
  <si>
    <t xml:space="preserve">Small</t>
  </si>
  <si>
    <t xml:space="preserve">Medium</t>
  </si>
  <si>
    <t xml:space="preserve">Large</t>
  </si>
  <si>
    <t xml:space="preserve">Distribution check (should be 100%)</t>
  </si>
  <si>
    <t xml:space="preserve">741 hospitals mandated into TEAM across 188 CBSAs (CMS TEAM final rule). Size distribution and per-hospital episode volume are planning assumptions — replace with actual CMS-published hospital-level episode counts as they become available.</t>
  </si>
  <si>
    <t xml:space="preserve">3. RECONCILIATION ASSUMPTIONS</t>
  </si>
  <si>
    <t xml:space="preserve">Share of episodes landing net-positive ("savers") with Yield Healthcare</t>
  </si>
  <si>
    <t xml:space="preserve">Avg positive reconciliation captured per saver episode ($)</t>
  </si>
  <si>
    <t xml:space="preserve">CMS's own data shows ~66% of hospitals are projected net payers absent intervention; this model assumes Yield Healthcare's management shifts a managed hospital to roughly a 50/50 payer/saver split with a modest average per-episode gain among savers. Treat as a conservative planning input, not a guarantee.</t>
  </si>
  <si>
    <t xml:space="preserve">4. TIER 1 — YIELD HEALTHCARE ADVISORY (fixed-fee consulting)</t>
  </si>
  <si>
    <t xml:space="preserve">Position Report (diagnostic only, one-time)</t>
  </si>
  <si>
    <t xml:space="preserve">Full Advisory Engagement, incl. Position Report (one-time fee)</t>
  </si>
  <si>
    <t xml:space="preserve">Delivery gross margin (advisory labor)</t>
  </si>
  <si>
    <t xml:space="preserve">Fixed-fee, project-based. No technology license, no ongoing staffing, no shared savings. 90-120 day engagement per the go-to-market deck (diagnose, prioritize, design governance/incentives).</t>
  </si>
  <si>
    <t xml:space="preserve">5. TIER 2 — YIELD HEALTHCARE PLATFORM (remote navigators + technology)</t>
  </si>
  <si>
    <t xml:space="preserve">Onboarding / implementation fee (one-time)</t>
  </si>
  <si>
    <t xml:space="preserve">Per-episode case management fee — standard complexity ($/episode)</t>
  </si>
  <si>
    <t xml:space="preserve">Per-episode case management fee — high complexity ($/episode)</t>
  </si>
  <si>
    <t xml:space="preserve">Shared savings take rate — Standard option (upside only)</t>
  </si>
  <si>
    <t xml:space="preserve">Shared savings take rate — Aligned option (Yield Healthcare shares downside)</t>
  </si>
  <si>
    <t xml:space="preserve">Downside share Yield Healthcare absorbs under Aligned option</t>
  </si>
  <si>
    <t xml:space="preserve">Remote Navigator FTE — fully loaded cost/year ($)</t>
  </si>
  <si>
    <t xml:space="preserve">Episodes managed per remote Navigator FTE</t>
  </si>
  <si>
    <t xml:space="preserve">Platform technology cost allocated per hospital/year ($)</t>
  </si>
  <si>
    <t xml:space="preserve">Onboarding delivery cost, as % of onboarding fee</t>
  </si>
  <si>
    <t xml:space="preserve">'Standard' take rate applies when Yield Healthcare bears no downside (mirrors TEAM Track 1). 'Aligned' take rate applies when Yield Healthcare contractually absorbs a share of a hospital's negative reconciliation (fits hospitals on Track 2/3) -- higher take rate compensates for that risk.</t>
  </si>
  <si>
    <t xml:space="preserve">6. TIER 3 — YIELD HEALTHCARE EMBEDDED (on-site staff + CM billing)</t>
  </si>
  <si>
    <t xml:space="preserve">Embedded setup / placement fee (one-time)</t>
  </si>
  <si>
    <t xml:space="preserve">Embedded RN Care Manager — fully loaded cost/year ($)</t>
  </si>
  <si>
    <t xml:space="preserve">Management fee markup billed to hospital on embedded FTE cost</t>
  </si>
  <si>
    <t xml:space="preserve">Episodes managed per embedded FTE</t>
  </si>
  <si>
    <t xml:space="preserve">TCM billing capture rate (% of episodes, CPT 99495/99496)</t>
  </si>
  <si>
    <t xml:space="preserve">Blended TCM rate per qualifying encounter ($)</t>
  </si>
  <si>
    <t xml:space="preserve">PIN capture rate — patients continuing navigation past day 30 (HCPCS G0023/G0024)</t>
  </si>
  <si>
    <t xml:space="preserve">Avg PIN months per captured patient</t>
  </si>
  <si>
    <t xml:space="preserve">Blended PIN monthly rate ($)</t>
  </si>
  <si>
    <t xml:space="preserve">Yield Healthcare's contracted share of collected CM billing revenue</t>
  </si>
  <si>
    <t xml:space="preserve">CM billing compliance/admin cost, as % of gross billing</t>
  </si>
  <si>
    <t xml:space="preserve">Shared savings take rate — Embedded tier</t>
  </si>
  <si>
    <t xml:space="preserve">2026 Medicare national avg rates: CPT 99495 $220 / 99496 $298.60 (TCM); HCPCS G0023 $87.17 / G0024 $54.44 per month (Principal Illness Navigation); CPT 99490 $66.13/month (Chronic Care Management) -- used to derive the blended TCM/PIN rates above. CM billing requires a Medicare-enrolled billing entity (hospital, affiliated physician group, or Yield Healthcare's own NPI under supervision) -- structure and revenue share are subject to compliance review; treat as a planning assumption.</t>
  </si>
  <si>
    <t xml:space="preserve">7. CUSTOMER ACQUISITION &amp; RETENTION (3-year plan)</t>
  </si>
  <si>
    <t xml:space="preserve">Year 1</t>
  </si>
  <si>
    <t xml:space="preserve">Year 2</t>
  </si>
  <si>
    <t xml:space="preserve">Year 3</t>
  </si>
  <si>
    <t xml:space="preserve">New Advisory engagements (one-time each)</t>
  </si>
  <si>
    <t xml:space="preserve">New Platform customers (gross adds)</t>
  </si>
  <si>
    <t xml:space="preserve">New Embedded customers (gross adds)</t>
  </si>
  <si>
    <t xml:space="preserve">Annual customer retention — Platform</t>
  </si>
  <si>
    <t xml:space="preserve">Annual customer retention — Embedded</t>
  </si>
  <si>
    <t xml:space="preserve">741 mandated hospitals is the full addressable base; this ramp reaches roughly 100 active recurring-revenue relationships by end of Year 3 -- under 15% penetration, deliberately conservative for a new entrant's first three years.</t>
  </si>
  <si>
    <t xml:space="preserve">UNIT ECONOMICS — PER HOSPITAL, BY TIER AND SIZE</t>
  </si>
  <si>
    <t xml:space="preserve">HELPER CONSTANTS (derived from Assumptions)</t>
  </si>
  <si>
    <t xml:space="preserve">Blended per-episode fee, Tier 2 ($/episode)</t>
  </si>
  <si>
    <t xml:space="preserve">Shared savings revenue per episode, Tier 2 Standard ($)</t>
  </si>
  <si>
    <t xml:space="preserve">Shared savings revenue per episode, Tier 2 Aligned ($)</t>
  </si>
  <si>
    <t xml:space="preserve">CM billing revenue per episode, gross, Tier 3 ($)</t>
  </si>
  <si>
    <t xml:space="preserve">CM billing revenue per episode, net to Yield Healthcare, Tier 3 ($)</t>
  </si>
  <si>
    <t xml:space="preserve">Shared savings revenue per episode, Tier 3 ($)</t>
  </si>
  <si>
    <t xml:space="preserve">TIER 1 — YIELD HEALTHCARE ADVISORY</t>
  </si>
  <si>
    <t xml:space="preserve">Blended</t>
  </si>
  <si>
    <t xml:space="preserve">Revenue (one-time engagement fee)</t>
  </si>
  <si>
    <t xml:space="preserve">Delivery cost</t>
  </si>
  <si>
    <t xml:space="preserve">Gross profit</t>
  </si>
  <si>
    <t xml:space="preserve">Gross margin %</t>
  </si>
  <si>
    <t xml:space="preserve">TIER 2 — YIELD HEALTHCARE PLATFORM</t>
  </si>
  <si>
    <t xml:space="preserve">Annual episode volume</t>
  </si>
  <si>
    <t xml:space="preserve">Onboarding fee (one-time)</t>
  </si>
  <si>
    <t xml:space="preserve">Annual per-episode case management fee revenue</t>
  </si>
  <si>
    <t xml:space="preserve">Annual shared savings revenue — Standard option</t>
  </si>
  <si>
    <t xml:space="preserve">Annual shared savings revenue — Aligned option</t>
  </si>
  <si>
    <t xml:space="preserve">Annual recurring revenue (Standard option)</t>
  </si>
  <si>
    <t xml:space="preserve">Year-1 total revenue (incl. onboarding)</t>
  </si>
  <si>
    <t xml:space="preserve">Remote Navigator FTEs required</t>
  </si>
  <si>
    <t xml:space="preserve">Navigator staffing cost</t>
  </si>
  <si>
    <t xml:space="preserve">Platform technology cost</t>
  </si>
  <si>
    <t xml:space="preserve">Onboarding delivery cost</t>
  </si>
  <si>
    <t xml:space="preserve">Year-1 total cost</t>
  </si>
  <si>
    <t xml:space="preserve">Recurring annual cost (Year 2+)</t>
  </si>
  <si>
    <t xml:space="preserve">Year-1 gross profit</t>
  </si>
  <si>
    <t xml:space="preserve">Recurring gross profit (Year 2+)</t>
  </si>
  <si>
    <t xml:space="preserve">Recurring gross margin % (Year 2+)</t>
  </si>
  <si>
    <t xml:space="preserve">TIER 3 — YIELD HEALTHCARE EMBEDDED</t>
  </si>
  <si>
    <t xml:space="preserve">Setup / placement fee (one-time)</t>
  </si>
  <si>
    <t xml:space="preserve">Embedded FTEs required</t>
  </si>
  <si>
    <t xml:space="preserve">Annual embedded-staff fee revenue (cost + management markup)</t>
  </si>
  <si>
    <t xml:space="preserve">Annual CM billing revenue, net to Yield Healthcare</t>
  </si>
  <si>
    <t xml:space="preserve">Annual shared savings revenue</t>
  </si>
  <si>
    <t xml:space="preserve">Annual recurring revenue</t>
  </si>
  <si>
    <t xml:space="preserve">Year-1 total revenue (incl. setup fee)</t>
  </si>
  <si>
    <t xml:space="preserve">Embedded staff cost (actual)</t>
  </si>
  <si>
    <t xml:space="preserve">CM billing compliance / admin cost</t>
  </si>
  <si>
    <t xml:space="preserve">Setup delivery cost</t>
  </si>
  <si>
    <t xml:space="preserve">3-YEAR REVENUE BUILD</t>
  </si>
  <si>
    <t xml:space="preserve">Uses the size-blended unit economics from the 'Unit Economics' tab and the customer acquisition plan from 'Assumptions' §7. Every cell below is a formula -- change the acquisition plan or any pricing assumption and this rebuilds automatically.</t>
  </si>
  <si>
    <t xml:space="preserve">NEW CUSTOMERS SIGNED</t>
  </si>
  <si>
    <t xml:space="preserve">New Advisory engagements</t>
  </si>
  <si>
    <t xml:space="preserve">New Platform customers</t>
  </si>
  <si>
    <t xml:space="preserve">New Embedded customers</t>
  </si>
  <si>
    <t xml:space="preserve">CUMULATIVE ACTIVE CUSTOMERS (recurring tiers, after retention)</t>
  </si>
  <si>
    <t xml:space="preserve">Cumulative active — Platform</t>
  </si>
  <si>
    <t xml:space="preserve">Cumulative active — Embedded</t>
  </si>
  <si>
    <t xml:space="preserve">HEADCOUNT REQUIRED (planning reference)</t>
  </si>
  <si>
    <t xml:space="preserve">Remote Navigator FTEs (Platform)</t>
  </si>
  <si>
    <t xml:space="preserve">Embedded RN Care Manager FTEs (Embedded)</t>
  </si>
  <si>
    <t xml:space="preserve">REVENUE</t>
  </si>
  <si>
    <t xml:space="preserve">Advisory revenue</t>
  </si>
  <si>
    <t xml:space="preserve">Platform revenue (new-customer Year-1 + retained recurring)</t>
  </si>
  <si>
    <t xml:space="preserve">Embedded revenue (new-customer Year-1 + retained recurring)</t>
  </si>
  <si>
    <t xml:space="preserve">TOTAL REVENUE</t>
  </si>
  <si>
    <t xml:space="preserve">COST</t>
  </si>
  <si>
    <t xml:space="preserve">Advisory cost</t>
  </si>
  <si>
    <t xml:space="preserve">Platform cost (new-customer Year-1 + retained recurring)</t>
  </si>
  <si>
    <t xml:space="preserve">Embedded cost (new-customer Year-1 + retained recurring)</t>
  </si>
  <si>
    <t xml:space="preserve">TOTAL COST</t>
  </si>
  <si>
    <t xml:space="preserve">PROFITABILITY</t>
  </si>
  <si>
    <t xml:space="preserve">YIELD HEALTHCARE — 3-YEAR SUMMARY</t>
  </si>
  <si>
    <t xml:space="preserve">REVENUE BY TIER ($)</t>
  </si>
  <si>
    <t xml:space="preserve">Advisory</t>
  </si>
  <si>
    <t xml:space="preserve">Platform</t>
  </si>
  <si>
    <t xml:space="preserve">Embedded</t>
  </si>
  <si>
    <t xml:space="preserve">Total Revenue</t>
  </si>
  <si>
    <t xml:space="preserve">Total Gross Profit</t>
  </si>
  <si>
    <t xml:space="preserve">Gross Margin %</t>
  </si>
  <si>
    <t xml:space="preserve">Active customer relationships (year-end)</t>
  </si>
  <si>
    <t xml:space="preserve">Advisory engagements (that year)</t>
  </si>
  <si>
    <t xml:space="preserve">Platform (cumulative active)</t>
  </si>
  <si>
    <t xml:space="preserve">Embedded (cumulative active)</t>
  </si>
  <si>
    <t xml:space="preserve">All figures are illustrative planning assumptions built up from the Assumptions and Unit Economics tabs. Refine episode pricing, take rates, and the acquisition ramp as real contract data comes in.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</si>
</sst>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#,##0"/>
    <numFmt numFmtId="168" formatCode="\$#,##0.00;&quot;($&quot;#,##0.00\);\-"/>
    <numFmt numFmtId="169" formatCode="0.00"/>
    <numFmt numFmtId="170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4B3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4B3A"/>
        <bgColor rgb="FF003366"/>
      </patternFill>
    </fill>
    <fill>
      <patternFill patternType="solid">
        <fgColor rgb="FF8FA687"/>
        <bgColor rgb="FF9BBB59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78787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8FA687"/>
      <rgbColor rgb="FF003366"/>
      <rgbColor rgb="FF339966"/>
      <rgbColor rgb="FF003300"/>
      <rgbColor rgb="FF333300"/>
      <rgbColor rgb="FF993300"/>
      <rgbColor rgb="FF993366"/>
      <rgbColor rgb="FF333399"/>
      <rgbColor rgb="FF1E4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Tier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"Advisory"</c:f>
              <c:strCache>
                <c:ptCount val="1"/>
                <c:pt idx="0">
                  <c:v>Advisory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Summary!$B$4:$D$4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Summary!$B$5:$D$5</c:f>
              <c:numCache>
                <c:formatCode>\$#,##0;"($"#,##0\);\-</c:formatCode>
                <c:ptCount val="3"/>
                <c:pt idx="0">
                  <c:v>728000</c:v>
                </c:pt>
                <c:pt idx="1">
                  <c:v>910000</c:v>
                </c:pt>
                <c:pt idx="2">
                  <c:v>1092000</c:v>
                </c:pt>
              </c:numCache>
            </c:numRef>
          </c:val>
        </c:ser>
        <c:ser>
          <c:idx val="1"/>
          <c:order val="1"/>
          <c:tx>
            <c:strRef>
              <c:f>"Platform"</c:f>
              <c:strCache>
                <c:ptCount val="1"/>
                <c:pt idx="0">
                  <c:v>Platform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Summary!$B$4:$D$4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Summary!$B$6:$D$6</c:f>
              <c:numCache>
                <c:formatCode>\$#,##0;"($"#,##0\);\-</c:formatCode>
                <c:ptCount val="3"/>
                <c:pt idx="0">
                  <c:v>1467000</c:v>
                </c:pt>
                <c:pt idx="1">
                  <c:v>5584500</c:v>
                </c:pt>
                <c:pt idx="2">
                  <c:v>11950650</c:v>
                </c:pt>
              </c:numCache>
            </c:numRef>
          </c:val>
        </c:ser>
        <c:ser>
          <c:idx val="2"/>
          <c:order val="2"/>
          <c:tx>
            <c:strRef>
              <c:f>"Embedded"</c:f>
              <c:strCache>
                <c:ptCount val="1"/>
                <c:pt idx="0">
                  <c:v>Embedded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Summary!$B$4:$D$4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Summary!$B$7:$D$7</c:f>
              <c:numCache>
                <c:formatCode>\$#,##0;"($"#,##0\);\-</c:formatCode>
                <c:ptCount val="3"/>
                <c:pt idx="0">
                  <c:v>555280</c:v>
                </c:pt>
                <c:pt idx="1">
                  <c:v>1846552</c:v>
                </c:pt>
                <c:pt idx="2">
                  <c:v>4334796.8</c:v>
                </c:pt>
              </c:numCache>
            </c:numRef>
          </c:val>
        </c:ser>
        <c:gapWidth val="150"/>
        <c:overlap val="100"/>
        <c:axId val="96345015"/>
        <c:axId val="50040706"/>
      </c:barChart>
      <c:catAx>
        <c:axId val="963450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040706"/>
        <c:crosses val="autoZero"/>
        <c:auto val="1"/>
        <c:lblAlgn val="ctr"/>
        <c:lblOffset val="100"/>
        <c:noMultiLvlLbl val="0"/>
      </c:catAx>
      <c:valAx>
        <c:axId val="500407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3450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6</xdr:col>
      <xdr:colOff>158760</xdr:colOff>
      <xdr:row>36</xdr:row>
      <xdr:rowOff>1080</xdr:rowOff>
    </xdr:to>
    <xdr:graphicFrame>
      <xdr:nvGraphicFramePr>
        <xdr:cNvPr id="1" name="Chart 1"/>
        <xdr:cNvGraphicFramePr/>
      </xdr:nvGraphicFramePr>
      <xdr:xfrm>
        <a:off x="0" y="37990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  <col collapsed="false" customWidth="true" hidden="false" outlineLevel="0" max="7" min="3" style="0" width="3"/>
  </cols>
  <sheetData>
    <row r="2" customFormat="false" ht="27.75" hidden="false" customHeight="true" outlineLevel="0" collapsed="false">
      <c r="A2" s="1" t="s">
        <v>0</v>
      </c>
      <c r="B2" s="1"/>
    </row>
    <row r="4" customFormat="false" ht="30" hidden="false" customHeight="true" outlineLevel="0" collapsed="false">
      <c r="B4" s="2" t="s">
        <v>1</v>
      </c>
    </row>
    <row r="5" customFormat="false" ht="15" hidden="false" customHeight="true" outlineLevel="0" collapsed="false">
      <c r="B5" s="2"/>
    </row>
    <row r="6" customFormat="false" ht="15" hidden="false" customHeight="true" outlineLevel="0" collapsed="false">
      <c r="B6" s="3" t="s">
        <v>2</v>
      </c>
    </row>
    <row r="7" customFormat="false" ht="30" hidden="false" customHeight="true" outlineLevel="0" collapsed="false">
      <c r="B7" s="2" t="s">
        <v>3</v>
      </c>
    </row>
    <row r="8" customFormat="false" ht="30" hidden="false" customHeight="true" outlineLevel="0" collapsed="false">
      <c r="B8" s="2" t="s">
        <v>4</v>
      </c>
    </row>
    <row r="9" customFormat="false" ht="30" hidden="false" customHeight="true" outlineLevel="0" collapsed="false">
      <c r="B9" s="2" t="s">
        <v>5</v>
      </c>
    </row>
    <row r="10" customFormat="false" ht="15" hidden="false" customHeight="true" outlineLevel="0" collapsed="false">
      <c r="B10" s="2" t="s">
        <v>6</v>
      </c>
    </row>
    <row r="11" customFormat="false" ht="15" hidden="false" customHeight="true" outlineLevel="0" collapsed="false">
      <c r="B11" s="2"/>
    </row>
    <row r="12" customFormat="false" ht="30" hidden="false" customHeight="true" outlineLevel="0" collapsed="false">
      <c r="B12" s="2" t="s">
        <v>7</v>
      </c>
    </row>
    <row r="13" customFormat="false" ht="15" hidden="false" customHeight="true" outlineLevel="0" collapsed="false">
      <c r="B13" s="2"/>
    </row>
    <row r="14" customFormat="false" ht="30" hidden="false" customHeight="true" outlineLevel="0" collapsed="false">
      <c r="B14" s="2" t="s">
        <v>8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3"/>
    <col collapsed="false" customWidth="true" hidden="false" outlineLevel="0" max="6" min="6" style="0" width="60"/>
  </cols>
  <sheetData>
    <row r="1" customFormat="false" ht="21.75" hidden="false" customHeight="true" outlineLevel="0" collapsed="false">
      <c r="A1" s="1" t="s">
        <v>9</v>
      </c>
      <c r="B1" s="1"/>
      <c r="C1" s="1"/>
      <c r="D1" s="1"/>
    </row>
    <row r="3" customFormat="false" ht="18" hidden="false" customHeight="true" outlineLevel="0" collapsed="false">
      <c r="A3" s="4" t="s">
        <v>10</v>
      </c>
      <c r="B3" s="4"/>
      <c r="C3" s="4"/>
      <c r="D3" s="4"/>
    </row>
    <row r="4" customFormat="false" ht="15" hidden="false" customHeight="false" outlineLevel="0" collapsed="false">
      <c r="A4" s="5" t="s">
        <v>11</v>
      </c>
      <c r="B4" s="6" t="s">
        <v>12</v>
      </c>
      <c r="C4" s="6" t="s">
        <v>13</v>
      </c>
    </row>
    <row r="5" customFormat="false" ht="15" hidden="false" customHeight="false" outlineLevel="0" collapsed="false">
      <c r="A5" s="7" t="s">
        <v>14</v>
      </c>
      <c r="B5" s="8" t="n">
        <v>21000</v>
      </c>
      <c r="C5" s="9" t="n">
        <v>0.55</v>
      </c>
    </row>
    <row r="6" customFormat="false" ht="15" hidden="false" customHeight="false" outlineLevel="0" collapsed="false">
      <c r="A6" s="7" t="s">
        <v>15</v>
      </c>
      <c r="B6" s="8" t="n">
        <v>27000</v>
      </c>
      <c r="C6" s="9" t="n">
        <v>0.15</v>
      </c>
    </row>
    <row r="7" customFormat="false" ht="15" hidden="false" customHeight="false" outlineLevel="0" collapsed="false">
      <c r="A7" s="7" t="s">
        <v>16</v>
      </c>
      <c r="B7" s="8" t="n">
        <v>34000</v>
      </c>
      <c r="C7" s="9" t="n">
        <v>0.1</v>
      </c>
    </row>
    <row r="8" customFormat="false" ht="15" hidden="false" customHeight="false" outlineLevel="0" collapsed="false">
      <c r="A8" s="7" t="s">
        <v>17</v>
      </c>
      <c r="B8" s="8" t="n">
        <v>42000</v>
      </c>
      <c r="C8" s="9" t="n">
        <v>0.1</v>
      </c>
    </row>
    <row r="9" customFormat="false" ht="15" hidden="false" customHeight="false" outlineLevel="0" collapsed="false">
      <c r="A9" s="7" t="s">
        <v>18</v>
      </c>
      <c r="B9" s="8" t="n">
        <v>24000</v>
      </c>
      <c r="C9" s="9" t="n">
        <v>0.1</v>
      </c>
    </row>
    <row r="10" customFormat="false" ht="15" hidden="false" customHeight="false" outlineLevel="0" collapsed="false">
      <c r="A10" s="10" t="s">
        <v>19</v>
      </c>
      <c r="B10" s="11" t="n">
        <f aca="false">SUMPRODUCT(B5:B9,C5:C9)</f>
        <v>25600</v>
      </c>
      <c r="C10" s="12" t="n">
        <f aca="false">SUM(C5:C9)</f>
        <v>1</v>
      </c>
    </row>
    <row r="11" customFormat="false" ht="19.4" hidden="false" customHeight="true" outlineLevel="0" collapsed="false">
      <c r="A11" s="13" t="s">
        <v>20</v>
      </c>
      <c r="B11" s="13"/>
      <c r="C11" s="13"/>
      <c r="D11" s="13"/>
    </row>
    <row r="13" customFormat="false" ht="15" hidden="false" customHeight="false" outlineLevel="0" collapsed="false">
      <c r="A13" s="7" t="s">
        <v>21</v>
      </c>
      <c r="B13" s="14" t="n">
        <f aca="false">C5+C6+C9</f>
        <v>0.8</v>
      </c>
    </row>
    <row r="14" customFormat="false" ht="15" hidden="false" customHeight="false" outlineLevel="0" collapsed="false">
      <c r="A14" s="7" t="s">
        <v>22</v>
      </c>
      <c r="B14" s="14" t="n">
        <f aca="false">C7+C8</f>
        <v>0.2</v>
      </c>
    </row>
    <row r="17" customFormat="false" ht="18" hidden="false" customHeight="true" outlineLevel="0" collapsed="false">
      <c r="A17" s="4" t="s">
        <v>23</v>
      </c>
      <c r="B17" s="4"/>
      <c r="C17" s="4"/>
      <c r="D17" s="4"/>
    </row>
    <row r="18" customFormat="false" ht="15" hidden="false" customHeight="false" outlineLevel="0" collapsed="false">
      <c r="A18" s="5" t="s">
        <v>24</v>
      </c>
      <c r="B18" s="6" t="s">
        <v>25</v>
      </c>
      <c r="C18" s="6" t="s">
        <v>26</v>
      </c>
    </row>
    <row r="19" customFormat="false" ht="15" hidden="false" customHeight="false" outlineLevel="0" collapsed="false">
      <c r="A19" s="7" t="s">
        <v>27</v>
      </c>
      <c r="B19" s="15" t="n">
        <v>75</v>
      </c>
      <c r="C19" s="9" t="n">
        <v>0.4</v>
      </c>
    </row>
    <row r="20" customFormat="false" ht="15" hidden="false" customHeight="false" outlineLevel="0" collapsed="false">
      <c r="A20" s="7" t="s">
        <v>28</v>
      </c>
      <c r="B20" s="15" t="n">
        <v>200</v>
      </c>
      <c r="C20" s="9" t="n">
        <v>0.4</v>
      </c>
    </row>
    <row r="21" customFormat="false" ht="15" hidden="false" customHeight="false" outlineLevel="0" collapsed="false">
      <c r="A21" s="7" t="s">
        <v>29</v>
      </c>
      <c r="B21" s="15" t="n">
        <v>450</v>
      </c>
      <c r="C21" s="9" t="n">
        <v>0.2</v>
      </c>
    </row>
    <row r="22" customFormat="false" ht="15" hidden="false" customHeight="false" outlineLevel="0" collapsed="false">
      <c r="A22" s="10" t="s">
        <v>30</v>
      </c>
      <c r="C22" s="14" t="n">
        <f aca="false">SUM(C19:C21)</f>
        <v>1</v>
      </c>
    </row>
    <row r="23" customFormat="false" ht="19.4" hidden="false" customHeight="true" outlineLevel="0" collapsed="false">
      <c r="A23" s="13" t="s">
        <v>31</v>
      </c>
      <c r="B23" s="13"/>
      <c r="C23" s="13"/>
      <c r="D23" s="13"/>
    </row>
    <row r="25" customFormat="false" ht="18" hidden="false" customHeight="true" outlineLevel="0" collapsed="false">
      <c r="A25" s="4" t="s">
        <v>32</v>
      </c>
      <c r="B25" s="4"/>
      <c r="C25" s="4"/>
      <c r="D25" s="4"/>
    </row>
    <row r="26" customFormat="false" ht="15" hidden="false" customHeight="false" outlineLevel="0" collapsed="false">
      <c r="A26" s="7" t="s">
        <v>33</v>
      </c>
      <c r="B26" s="9" t="n">
        <v>0.5</v>
      </c>
    </row>
    <row r="27" customFormat="false" ht="15" hidden="false" customHeight="false" outlineLevel="0" collapsed="false">
      <c r="A27" s="7" t="s">
        <v>34</v>
      </c>
      <c r="B27" s="8" t="n">
        <v>1800</v>
      </c>
    </row>
    <row r="28" customFormat="false" ht="28.35" hidden="false" customHeight="true" outlineLevel="0" collapsed="false">
      <c r="A28" s="13" t="s">
        <v>35</v>
      </c>
      <c r="B28" s="13"/>
      <c r="C28" s="13"/>
      <c r="D28" s="13"/>
    </row>
    <row r="30" customFormat="false" ht="18" hidden="false" customHeight="true" outlineLevel="0" collapsed="false">
      <c r="A30" s="4" t="s">
        <v>36</v>
      </c>
      <c r="B30" s="4"/>
      <c r="C30" s="4"/>
      <c r="D30" s="4"/>
    </row>
    <row r="31" customFormat="false" ht="15" hidden="false" customHeight="false" outlineLevel="0" collapsed="false">
      <c r="A31" s="5"/>
      <c r="B31" s="6" t="s">
        <v>27</v>
      </c>
      <c r="C31" s="6" t="s">
        <v>28</v>
      </c>
      <c r="D31" s="6" t="s">
        <v>29</v>
      </c>
    </row>
    <row r="32" customFormat="false" ht="15" hidden="false" customHeight="false" outlineLevel="0" collapsed="false">
      <c r="A32" s="7" t="s">
        <v>37</v>
      </c>
      <c r="B32" s="8" t="n">
        <v>18000</v>
      </c>
      <c r="C32" s="8" t="n">
        <v>24000</v>
      </c>
      <c r="D32" s="8" t="n">
        <v>32000</v>
      </c>
    </row>
    <row r="33" customFormat="false" ht="15" hidden="false" customHeight="false" outlineLevel="0" collapsed="false">
      <c r="A33" s="7" t="s">
        <v>38</v>
      </c>
      <c r="B33" s="8" t="n">
        <v>65000</v>
      </c>
      <c r="C33" s="8" t="n">
        <v>95000</v>
      </c>
      <c r="D33" s="8" t="n">
        <v>135000</v>
      </c>
    </row>
    <row r="34" customFormat="false" ht="15" hidden="false" customHeight="false" outlineLevel="0" collapsed="false">
      <c r="A34" s="7" t="s">
        <v>39</v>
      </c>
      <c r="B34" s="9" t="n">
        <v>0.75</v>
      </c>
    </row>
    <row r="35" customFormat="false" ht="19.4" hidden="false" customHeight="true" outlineLevel="0" collapsed="false">
      <c r="A35" s="13" t="s">
        <v>40</v>
      </c>
      <c r="B35" s="13"/>
      <c r="C35" s="13"/>
      <c r="D35" s="13"/>
    </row>
    <row r="37" customFormat="false" ht="18" hidden="false" customHeight="true" outlineLevel="0" collapsed="false">
      <c r="A37" s="4" t="s">
        <v>41</v>
      </c>
      <c r="B37" s="4"/>
      <c r="C37" s="4"/>
      <c r="D37" s="4"/>
    </row>
    <row r="38" customFormat="false" ht="15" hidden="false" customHeight="false" outlineLevel="0" collapsed="false">
      <c r="A38" s="5"/>
      <c r="B38" s="6" t="s">
        <v>27</v>
      </c>
      <c r="C38" s="6" t="s">
        <v>28</v>
      </c>
      <c r="D38" s="6" t="s">
        <v>29</v>
      </c>
    </row>
    <row r="39" customFormat="false" ht="15" hidden="false" customHeight="false" outlineLevel="0" collapsed="false">
      <c r="A39" s="7" t="s">
        <v>42</v>
      </c>
      <c r="B39" s="8" t="n">
        <v>20000</v>
      </c>
      <c r="C39" s="8" t="n">
        <v>32000</v>
      </c>
      <c r="D39" s="8" t="n">
        <v>48000</v>
      </c>
    </row>
    <row r="40" customFormat="false" ht="15" hidden="false" customHeight="false" outlineLevel="0" collapsed="false">
      <c r="A40" s="7" t="s">
        <v>43</v>
      </c>
      <c r="B40" s="8" t="n">
        <v>950</v>
      </c>
    </row>
    <row r="41" customFormat="false" ht="15" hidden="false" customHeight="false" outlineLevel="0" collapsed="false">
      <c r="A41" s="7" t="s">
        <v>44</v>
      </c>
      <c r="B41" s="8" t="n">
        <v>1650</v>
      </c>
    </row>
    <row r="42" customFormat="false" ht="15" hidden="false" customHeight="false" outlineLevel="0" collapsed="false">
      <c r="A42" s="7" t="s">
        <v>45</v>
      </c>
      <c r="B42" s="9" t="n">
        <v>0.25</v>
      </c>
    </row>
    <row r="43" customFormat="false" ht="15" hidden="false" customHeight="false" outlineLevel="0" collapsed="false">
      <c r="A43" s="7" t="s">
        <v>46</v>
      </c>
      <c r="B43" s="9" t="n">
        <v>0.38</v>
      </c>
    </row>
    <row r="44" customFormat="false" ht="15" hidden="false" customHeight="false" outlineLevel="0" collapsed="false">
      <c r="A44" s="7" t="s">
        <v>47</v>
      </c>
      <c r="B44" s="9" t="n">
        <v>0.2</v>
      </c>
    </row>
    <row r="45" customFormat="false" ht="15" hidden="false" customHeight="false" outlineLevel="0" collapsed="false">
      <c r="A45" s="7" t="s">
        <v>48</v>
      </c>
      <c r="B45" s="8" t="n">
        <v>95000</v>
      </c>
    </row>
    <row r="46" customFormat="false" ht="15" hidden="false" customHeight="false" outlineLevel="0" collapsed="false">
      <c r="A46" s="7" t="s">
        <v>49</v>
      </c>
      <c r="B46" s="15" t="n">
        <v>200</v>
      </c>
    </row>
    <row r="47" customFormat="false" ht="15" hidden="false" customHeight="false" outlineLevel="0" collapsed="false">
      <c r="A47" s="7" t="s">
        <v>50</v>
      </c>
      <c r="B47" s="8" t="n">
        <v>15000</v>
      </c>
    </row>
    <row r="48" customFormat="false" ht="15" hidden="false" customHeight="false" outlineLevel="0" collapsed="false">
      <c r="A48" s="7" t="s">
        <v>51</v>
      </c>
      <c r="B48" s="9" t="n">
        <v>0.6</v>
      </c>
    </row>
    <row r="49" customFormat="false" ht="28.35" hidden="false" customHeight="true" outlineLevel="0" collapsed="false">
      <c r="A49" s="13" t="s">
        <v>52</v>
      </c>
      <c r="B49" s="13"/>
      <c r="C49" s="13"/>
      <c r="D49" s="13"/>
    </row>
    <row r="51" customFormat="false" ht="18" hidden="false" customHeight="true" outlineLevel="0" collapsed="false">
      <c r="A51" s="4" t="s">
        <v>53</v>
      </c>
      <c r="B51" s="4"/>
      <c r="C51" s="4"/>
      <c r="D51" s="4"/>
    </row>
    <row r="52" customFormat="false" ht="15" hidden="false" customHeight="false" outlineLevel="0" collapsed="false">
      <c r="A52" s="5"/>
      <c r="B52" s="6" t="s">
        <v>27</v>
      </c>
      <c r="C52" s="6" t="s">
        <v>28</v>
      </c>
      <c r="D52" s="6" t="s">
        <v>29</v>
      </c>
    </row>
    <row r="53" customFormat="false" ht="15" hidden="false" customHeight="false" outlineLevel="0" collapsed="false">
      <c r="A53" s="7" t="s">
        <v>54</v>
      </c>
      <c r="B53" s="8" t="n">
        <v>15000</v>
      </c>
      <c r="C53" s="8" t="n">
        <v>25000</v>
      </c>
      <c r="D53" s="8" t="n">
        <v>35000</v>
      </c>
    </row>
    <row r="54" customFormat="false" ht="15" hidden="false" customHeight="false" outlineLevel="0" collapsed="false">
      <c r="A54" s="7" t="s">
        <v>55</v>
      </c>
      <c r="B54" s="8" t="n">
        <v>135000</v>
      </c>
    </row>
    <row r="55" customFormat="false" ht="15" hidden="false" customHeight="false" outlineLevel="0" collapsed="false">
      <c r="A55" s="7" t="s">
        <v>56</v>
      </c>
      <c r="B55" s="9" t="n">
        <v>0.18</v>
      </c>
    </row>
    <row r="56" customFormat="false" ht="15" hidden="false" customHeight="false" outlineLevel="0" collapsed="false">
      <c r="A56" s="7" t="s">
        <v>57</v>
      </c>
      <c r="B56" s="15" t="n">
        <v>150</v>
      </c>
    </row>
    <row r="57" customFormat="false" ht="15" hidden="false" customHeight="false" outlineLevel="0" collapsed="false">
      <c r="A57" s="7" t="s">
        <v>58</v>
      </c>
      <c r="B57" s="9" t="n">
        <v>0.4</v>
      </c>
    </row>
    <row r="58" customFormat="false" ht="15" hidden="false" customHeight="false" outlineLevel="0" collapsed="false">
      <c r="A58" s="7" t="s">
        <v>59</v>
      </c>
      <c r="B58" s="8" t="n">
        <v>250</v>
      </c>
    </row>
    <row r="59" customFormat="false" ht="15" hidden="false" customHeight="false" outlineLevel="0" collapsed="false">
      <c r="A59" s="7" t="s">
        <v>60</v>
      </c>
      <c r="B59" s="9" t="n">
        <v>0.15</v>
      </c>
    </row>
    <row r="60" customFormat="false" ht="15" hidden="false" customHeight="false" outlineLevel="0" collapsed="false">
      <c r="A60" s="7" t="s">
        <v>61</v>
      </c>
      <c r="B60" s="15" t="n">
        <v>2</v>
      </c>
    </row>
    <row r="61" customFormat="false" ht="15" hidden="false" customHeight="false" outlineLevel="0" collapsed="false">
      <c r="A61" s="7" t="s">
        <v>62</v>
      </c>
      <c r="B61" s="8" t="n">
        <v>90</v>
      </c>
    </row>
    <row r="62" customFormat="false" ht="15" hidden="false" customHeight="false" outlineLevel="0" collapsed="false">
      <c r="A62" s="7" t="s">
        <v>63</v>
      </c>
      <c r="B62" s="9" t="n">
        <v>0.6</v>
      </c>
    </row>
    <row r="63" customFormat="false" ht="15" hidden="false" customHeight="false" outlineLevel="0" collapsed="false">
      <c r="A63" s="7" t="s">
        <v>64</v>
      </c>
      <c r="B63" s="9" t="n">
        <v>0.1</v>
      </c>
    </row>
    <row r="64" customFormat="false" ht="15" hidden="false" customHeight="false" outlineLevel="0" collapsed="false">
      <c r="A64" s="7" t="s">
        <v>65</v>
      </c>
      <c r="B64" s="9" t="n">
        <v>0.15</v>
      </c>
    </row>
    <row r="65" customFormat="false" ht="37.3" hidden="false" customHeight="true" outlineLevel="0" collapsed="false">
      <c r="A65" s="13" t="s">
        <v>66</v>
      </c>
      <c r="B65" s="13"/>
      <c r="C65" s="13"/>
      <c r="D65" s="13"/>
    </row>
    <row r="67" customFormat="false" ht="18" hidden="false" customHeight="true" outlineLevel="0" collapsed="false">
      <c r="A67" s="4" t="s">
        <v>67</v>
      </c>
      <c r="B67" s="4"/>
      <c r="C67" s="4"/>
      <c r="D67" s="4"/>
    </row>
    <row r="68" customFormat="false" ht="15" hidden="false" customHeight="false" outlineLevel="0" collapsed="false">
      <c r="A68" s="5"/>
      <c r="B68" s="6" t="s">
        <v>68</v>
      </c>
      <c r="C68" s="6" t="s">
        <v>69</v>
      </c>
      <c r="D68" s="6" t="s">
        <v>70</v>
      </c>
    </row>
    <row r="69" customFormat="false" ht="15" hidden="false" customHeight="false" outlineLevel="0" collapsed="false">
      <c r="A69" s="7" t="s">
        <v>71</v>
      </c>
      <c r="B69" s="15" t="n">
        <v>8</v>
      </c>
      <c r="C69" s="15" t="n">
        <v>10</v>
      </c>
      <c r="D69" s="15" t="n">
        <v>12</v>
      </c>
    </row>
    <row r="70" customFormat="false" ht="15" hidden="false" customHeight="false" outlineLevel="0" collapsed="false">
      <c r="A70" s="7" t="s">
        <v>72</v>
      </c>
      <c r="B70" s="15" t="n">
        <v>5</v>
      </c>
      <c r="C70" s="15" t="n">
        <v>15</v>
      </c>
      <c r="D70" s="15" t="n">
        <v>25</v>
      </c>
    </row>
    <row r="71" customFormat="false" ht="15" hidden="false" customHeight="false" outlineLevel="0" collapsed="false">
      <c r="A71" s="7" t="s">
        <v>73</v>
      </c>
      <c r="B71" s="15" t="n">
        <v>2</v>
      </c>
      <c r="C71" s="15" t="n">
        <v>5</v>
      </c>
      <c r="D71" s="15" t="n">
        <v>10</v>
      </c>
    </row>
    <row r="72" customFormat="false" ht="15" hidden="false" customHeight="false" outlineLevel="0" collapsed="false">
      <c r="A72" s="7" t="s">
        <v>74</v>
      </c>
      <c r="B72" s="9" t="n">
        <v>0.9</v>
      </c>
    </row>
    <row r="73" customFormat="false" ht="15" hidden="false" customHeight="false" outlineLevel="0" collapsed="false">
      <c r="A73" s="7" t="s">
        <v>75</v>
      </c>
      <c r="B73" s="9" t="n">
        <v>0.9</v>
      </c>
    </row>
    <row r="74" customFormat="false" ht="19.4" hidden="false" customHeight="true" outlineLevel="0" collapsed="false">
      <c r="A74" s="13" t="s">
        <v>76</v>
      </c>
      <c r="B74" s="13"/>
      <c r="C74" s="13"/>
      <c r="D74" s="13"/>
    </row>
  </sheetData>
  <mergeCells count="15">
    <mergeCell ref="A1:D1"/>
    <mergeCell ref="A3:D3"/>
    <mergeCell ref="A11:D11"/>
    <mergeCell ref="A17:D17"/>
    <mergeCell ref="A23:D23"/>
    <mergeCell ref="A25:D25"/>
    <mergeCell ref="A28:D28"/>
    <mergeCell ref="A30:D30"/>
    <mergeCell ref="A35:D35"/>
    <mergeCell ref="A37:D37"/>
    <mergeCell ref="A49:D49"/>
    <mergeCell ref="A51:D51"/>
    <mergeCell ref="A65:D65"/>
    <mergeCell ref="A67:D67"/>
    <mergeCell ref="A74:D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5"/>
    <col collapsed="false" customWidth="true" hidden="false" outlineLevel="0" max="6" min="6" style="0" width="3"/>
  </cols>
  <sheetData>
    <row r="1" customFormat="false" ht="21.75" hidden="false" customHeight="true" outlineLevel="0" collapsed="false">
      <c r="A1" s="1" t="s">
        <v>77</v>
      </c>
      <c r="B1" s="1"/>
      <c r="C1" s="1"/>
      <c r="D1" s="1"/>
      <c r="E1" s="1"/>
    </row>
    <row r="3" customFormat="false" ht="18" hidden="false" customHeight="true" outlineLevel="0" collapsed="false">
      <c r="A3" s="4" t="s">
        <v>78</v>
      </c>
      <c r="B3" s="4"/>
      <c r="C3" s="4"/>
      <c r="D3" s="4"/>
      <c r="E3" s="4"/>
    </row>
    <row r="4" customFormat="false" ht="15" hidden="false" customHeight="false" outlineLevel="0" collapsed="false">
      <c r="A4" s="7" t="s">
        <v>79</v>
      </c>
      <c r="B4" s="16" t="n">
        <f aca="false">Assumptions!$B$13*Assumptions!$B$40+Assumptions!$B$14*Assumptions!$B$41</f>
        <v>1090</v>
      </c>
    </row>
    <row r="5" customFormat="false" ht="15" hidden="false" customHeight="false" outlineLevel="0" collapsed="false">
      <c r="A5" s="7" t="s">
        <v>80</v>
      </c>
      <c r="B5" s="16" t="n">
        <f aca="false">Assumptions!$B$26*Assumptions!$B$27*Assumptions!$B$42</f>
        <v>225</v>
      </c>
    </row>
    <row r="6" customFormat="false" ht="15" hidden="false" customHeight="false" outlineLevel="0" collapsed="false">
      <c r="A6" s="7" t="s">
        <v>81</v>
      </c>
      <c r="B6" s="16" t="n">
        <f aca="false">Assumptions!$B$26*Assumptions!$B$27*Assumptions!$B$43</f>
        <v>342</v>
      </c>
    </row>
    <row r="7" customFormat="false" ht="15" hidden="false" customHeight="false" outlineLevel="0" collapsed="false">
      <c r="A7" s="7" t="s">
        <v>82</v>
      </c>
      <c r="B7" s="16" t="n">
        <f aca="false">Assumptions!$B$57*Assumptions!$B$58+Assumptions!$B$59*Assumptions!$B$60*Assumptions!$B$61</f>
        <v>127</v>
      </c>
    </row>
    <row r="8" customFormat="false" ht="15" hidden="false" customHeight="false" outlineLevel="0" collapsed="false">
      <c r="A8" s="7" t="s">
        <v>83</v>
      </c>
      <c r="B8" s="16" t="n">
        <f aca="false">B7*Assumptions!$B$62</f>
        <v>76.2</v>
      </c>
    </row>
    <row r="9" customFormat="false" ht="15" hidden="false" customHeight="false" outlineLevel="0" collapsed="false">
      <c r="A9" s="7" t="s">
        <v>84</v>
      </c>
      <c r="B9" s="16" t="n">
        <f aca="false">Assumptions!$B$26*Assumptions!$B$27*Assumptions!$B$64</f>
        <v>135</v>
      </c>
    </row>
    <row r="12" customFormat="false" ht="18" hidden="false" customHeight="true" outlineLevel="0" collapsed="false">
      <c r="A12" s="4" t="s">
        <v>85</v>
      </c>
      <c r="B12" s="4"/>
      <c r="C12" s="4"/>
      <c r="D12" s="4"/>
      <c r="E12" s="4"/>
    </row>
    <row r="13" customFormat="false" ht="15" hidden="false" customHeight="false" outlineLevel="0" collapsed="false">
      <c r="A13" s="5"/>
      <c r="B13" s="6" t="s">
        <v>27</v>
      </c>
      <c r="C13" s="6" t="s">
        <v>28</v>
      </c>
      <c r="D13" s="6" t="s">
        <v>29</v>
      </c>
      <c r="E13" s="6" t="s">
        <v>86</v>
      </c>
    </row>
    <row r="14" customFormat="false" ht="15" hidden="false" customHeight="false" outlineLevel="0" collapsed="false">
      <c r="A14" s="7" t="s">
        <v>87</v>
      </c>
      <c r="B14" s="17" t="n">
        <f aca="false">Assumptions!B33</f>
        <v>65000</v>
      </c>
      <c r="C14" s="17" t="n">
        <f aca="false">Assumptions!C33</f>
        <v>95000</v>
      </c>
      <c r="D14" s="17" t="n">
        <f aca="false">Assumptions!D33</f>
        <v>135000</v>
      </c>
      <c r="E14" s="11" t="n">
        <f aca="false">B14*Assumptions!$C$19+C14*Assumptions!$C$20+D14*Assumptions!$C$21</f>
        <v>91000</v>
      </c>
    </row>
    <row r="15" customFormat="false" ht="15" hidden="false" customHeight="false" outlineLevel="0" collapsed="false">
      <c r="A15" s="7" t="s">
        <v>88</v>
      </c>
      <c r="B15" s="17" t="n">
        <f aca="false">B14*(1-Assumptions!$B$34)</f>
        <v>16250</v>
      </c>
      <c r="C15" s="17" t="n">
        <f aca="false">C14*(1-Assumptions!$B$34)</f>
        <v>23750</v>
      </c>
      <c r="D15" s="17" t="n">
        <f aca="false">D14*(1-Assumptions!$B$34)</f>
        <v>33750</v>
      </c>
      <c r="E15" s="11" t="n">
        <f aca="false">B15*Assumptions!$C$19+C15*Assumptions!$C$20+D15*Assumptions!$C$21</f>
        <v>22750</v>
      </c>
    </row>
    <row r="16" customFormat="false" ht="15" hidden="false" customHeight="false" outlineLevel="0" collapsed="false">
      <c r="A16" s="10" t="s">
        <v>89</v>
      </c>
      <c r="B16" s="11" t="n">
        <f aca="false">B14-B15</f>
        <v>48750</v>
      </c>
      <c r="C16" s="11" t="n">
        <f aca="false">C14-C15</f>
        <v>71250</v>
      </c>
      <c r="D16" s="11" t="n">
        <f aca="false">D14-D15</f>
        <v>101250</v>
      </c>
      <c r="E16" s="11" t="n">
        <f aca="false">B16*Assumptions!$C$19+C16*Assumptions!$C$20+D16*Assumptions!$C$21</f>
        <v>68250</v>
      </c>
    </row>
    <row r="17" customFormat="false" ht="15" hidden="false" customHeight="false" outlineLevel="0" collapsed="false">
      <c r="A17" s="7" t="s">
        <v>90</v>
      </c>
      <c r="B17" s="18" t="n">
        <f aca="false">B16/B14</f>
        <v>0.75</v>
      </c>
      <c r="C17" s="18" t="n">
        <f aca="false">C16/C14</f>
        <v>0.75</v>
      </c>
      <c r="D17" s="18" t="n">
        <f aca="false">D16/D14</f>
        <v>0.75</v>
      </c>
      <c r="E17" s="12" t="n">
        <f aca="false">B17*Assumptions!$C$19+C17*Assumptions!$C$20+D17*Assumptions!$C$21</f>
        <v>0.75</v>
      </c>
    </row>
    <row r="19" customFormat="false" ht="18" hidden="false" customHeight="true" outlineLevel="0" collapsed="false">
      <c r="A19" s="4" t="s">
        <v>91</v>
      </c>
      <c r="B19" s="4"/>
      <c r="C19" s="4"/>
      <c r="D19" s="4"/>
      <c r="E19" s="4"/>
    </row>
    <row r="20" customFormat="false" ht="15" hidden="false" customHeight="false" outlineLevel="0" collapsed="false">
      <c r="A20" s="5"/>
      <c r="B20" s="6" t="s">
        <v>27</v>
      </c>
      <c r="C20" s="6" t="s">
        <v>28</v>
      </c>
      <c r="D20" s="6" t="s">
        <v>29</v>
      </c>
      <c r="E20" s="6" t="s">
        <v>86</v>
      </c>
    </row>
    <row r="21" customFormat="false" ht="15" hidden="false" customHeight="false" outlineLevel="0" collapsed="false">
      <c r="A21" s="7" t="s">
        <v>92</v>
      </c>
      <c r="B21" s="19" t="n">
        <f aca="false">Assumptions!B19</f>
        <v>75</v>
      </c>
      <c r="C21" s="19" t="n">
        <f aca="false">Assumptions!B20</f>
        <v>200</v>
      </c>
      <c r="D21" s="19" t="n">
        <f aca="false">Assumptions!B21</f>
        <v>450</v>
      </c>
      <c r="E21" s="20" t="n">
        <f aca="false">B21*Assumptions!$C$19+C21*Assumptions!$C$20+D21*Assumptions!$C$21</f>
        <v>200</v>
      </c>
    </row>
    <row r="22" customFormat="false" ht="15" hidden="false" customHeight="false" outlineLevel="0" collapsed="false">
      <c r="A22" s="7" t="s">
        <v>93</v>
      </c>
      <c r="B22" s="17" t="n">
        <f aca="false">Assumptions!B39</f>
        <v>20000</v>
      </c>
      <c r="C22" s="17" t="n">
        <f aca="false">Assumptions!C39</f>
        <v>32000</v>
      </c>
      <c r="D22" s="17" t="n">
        <f aca="false">Assumptions!D39</f>
        <v>48000</v>
      </c>
      <c r="E22" s="11" t="n">
        <f aca="false">B22*Assumptions!$C$19+C22*Assumptions!$C$20+D22*Assumptions!$C$21</f>
        <v>30400</v>
      </c>
    </row>
    <row r="23" customFormat="false" ht="15" hidden="false" customHeight="false" outlineLevel="0" collapsed="false">
      <c r="A23" s="7" t="s">
        <v>94</v>
      </c>
      <c r="B23" s="17" t="n">
        <f aca="false">B21*$B$4</f>
        <v>81750</v>
      </c>
      <c r="C23" s="17" t="n">
        <f aca="false">C21*$B$4</f>
        <v>218000</v>
      </c>
      <c r="D23" s="17" t="n">
        <f aca="false">D21*$B$4</f>
        <v>490500</v>
      </c>
      <c r="E23" s="11" t="n">
        <f aca="false">B23*Assumptions!$C$19+C23*Assumptions!$C$20+D23*Assumptions!$C$21</f>
        <v>218000</v>
      </c>
    </row>
    <row r="24" customFormat="false" ht="15" hidden="false" customHeight="false" outlineLevel="0" collapsed="false">
      <c r="A24" s="7" t="s">
        <v>95</v>
      </c>
      <c r="B24" s="17" t="n">
        <f aca="false">B21*$B$5</f>
        <v>16875</v>
      </c>
      <c r="C24" s="17" t="n">
        <f aca="false">C21*$B$5</f>
        <v>45000</v>
      </c>
      <c r="D24" s="17" t="n">
        <f aca="false">D21*$B$5</f>
        <v>101250</v>
      </c>
      <c r="E24" s="11" t="n">
        <f aca="false">B24*Assumptions!$C$19+C24*Assumptions!$C$20+D24*Assumptions!$C$21</f>
        <v>45000</v>
      </c>
    </row>
    <row r="25" customFormat="false" ht="15" hidden="false" customHeight="false" outlineLevel="0" collapsed="false">
      <c r="A25" s="7" t="s">
        <v>96</v>
      </c>
      <c r="B25" s="17" t="n">
        <f aca="false">B21*$B$6</f>
        <v>25650</v>
      </c>
      <c r="C25" s="17" t="n">
        <f aca="false">C21*$B$6</f>
        <v>68400</v>
      </c>
      <c r="D25" s="17" t="n">
        <f aca="false">D21*$B$6</f>
        <v>153900</v>
      </c>
      <c r="E25" s="11" t="n">
        <f aca="false">B25*Assumptions!$C$19+C25*Assumptions!$C$20+D25*Assumptions!$C$21</f>
        <v>68400</v>
      </c>
    </row>
    <row r="26" customFormat="false" ht="15" hidden="false" customHeight="false" outlineLevel="0" collapsed="false">
      <c r="A26" s="10" t="s">
        <v>97</v>
      </c>
      <c r="B26" s="11" t="n">
        <f aca="false">B23+B24</f>
        <v>98625</v>
      </c>
      <c r="C26" s="11" t="n">
        <f aca="false">C23+C24</f>
        <v>263000</v>
      </c>
      <c r="D26" s="11" t="n">
        <f aca="false">D23+D24</f>
        <v>591750</v>
      </c>
      <c r="E26" s="11" t="n">
        <f aca="false">B26*Assumptions!$C$19+C26*Assumptions!$C$20+D26*Assumptions!$C$21</f>
        <v>263000</v>
      </c>
    </row>
    <row r="27" customFormat="false" ht="15" hidden="false" customHeight="false" outlineLevel="0" collapsed="false">
      <c r="A27" s="10" t="s">
        <v>98</v>
      </c>
      <c r="B27" s="11" t="n">
        <f aca="false">B22+B26</f>
        <v>118625</v>
      </c>
      <c r="C27" s="11" t="n">
        <f aca="false">C22+C26</f>
        <v>295000</v>
      </c>
      <c r="D27" s="11" t="n">
        <f aca="false">D22+D26</f>
        <v>639750</v>
      </c>
      <c r="E27" s="11" t="n">
        <f aca="false">B27*Assumptions!$C$19+C27*Assumptions!$C$20+D27*Assumptions!$C$21</f>
        <v>293400</v>
      </c>
    </row>
    <row r="28" customFormat="false" ht="15" hidden="false" customHeight="false" outlineLevel="0" collapsed="false">
      <c r="A28" s="7" t="s">
        <v>99</v>
      </c>
      <c r="B28" s="21" t="n">
        <f aca="false">B21/Assumptions!$B$46</f>
        <v>0.375</v>
      </c>
      <c r="C28" s="21" t="n">
        <f aca="false">C21/Assumptions!$B$46</f>
        <v>1</v>
      </c>
      <c r="D28" s="21" t="n">
        <f aca="false">D21/Assumptions!$B$46</f>
        <v>2.25</v>
      </c>
      <c r="E28" s="22" t="n">
        <f aca="false">B28*Assumptions!$C$19+C28*Assumptions!$C$20+D28*Assumptions!$C$21</f>
        <v>1</v>
      </c>
    </row>
    <row r="29" customFormat="false" ht="15" hidden="false" customHeight="false" outlineLevel="0" collapsed="false">
      <c r="A29" s="7" t="s">
        <v>100</v>
      </c>
      <c r="B29" s="17" t="n">
        <f aca="false">B28*Assumptions!$B$45</f>
        <v>35625</v>
      </c>
      <c r="C29" s="17" t="n">
        <f aca="false">C28*Assumptions!$B$45</f>
        <v>95000</v>
      </c>
      <c r="D29" s="17" t="n">
        <f aca="false">D28*Assumptions!$B$45</f>
        <v>213750</v>
      </c>
      <c r="E29" s="11" t="n">
        <f aca="false">B29*Assumptions!$C$19+C29*Assumptions!$C$20+D29*Assumptions!$C$21</f>
        <v>95000</v>
      </c>
    </row>
    <row r="30" customFormat="false" ht="15" hidden="false" customHeight="false" outlineLevel="0" collapsed="false">
      <c r="A30" s="7" t="s">
        <v>101</v>
      </c>
      <c r="B30" s="17" t="n">
        <f aca="false">Assumptions!$B$47</f>
        <v>15000</v>
      </c>
      <c r="C30" s="17" t="n">
        <f aca="false">Assumptions!$B$47</f>
        <v>15000</v>
      </c>
      <c r="D30" s="17" t="n">
        <f aca="false">Assumptions!$B$47</f>
        <v>15000</v>
      </c>
      <c r="E30" s="11" t="n">
        <f aca="false">B30*Assumptions!$C$19+C30*Assumptions!$C$20+D30*Assumptions!$C$21</f>
        <v>15000</v>
      </c>
    </row>
    <row r="31" customFormat="false" ht="15" hidden="false" customHeight="false" outlineLevel="0" collapsed="false">
      <c r="A31" s="7" t="s">
        <v>102</v>
      </c>
      <c r="B31" s="17" t="n">
        <f aca="false">B22*Assumptions!$B$48</f>
        <v>12000</v>
      </c>
      <c r="C31" s="17" t="n">
        <f aca="false">C22*Assumptions!$B$48</f>
        <v>19200</v>
      </c>
      <c r="D31" s="17" t="n">
        <f aca="false">D22*Assumptions!$B$48</f>
        <v>28800</v>
      </c>
      <c r="E31" s="11" t="n">
        <f aca="false">B31*Assumptions!$C$19+C31*Assumptions!$C$20+D31*Assumptions!$C$21</f>
        <v>18240</v>
      </c>
    </row>
    <row r="32" customFormat="false" ht="15" hidden="false" customHeight="false" outlineLevel="0" collapsed="false">
      <c r="A32" s="7" t="s">
        <v>103</v>
      </c>
      <c r="B32" s="17" t="n">
        <f aca="false">B29+B30+B31</f>
        <v>62625</v>
      </c>
      <c r="C32" s="17" t="n">
        <f aca="false">C29+C30+C31</f>
        <v>129200</v>
      </c>
      <c r="D32" s="17" t="n">
        <f aca="false">D29+D30+D31</f>
        <v>257550</v>
      </c>
      <c r="E32" s="11" t="n">
        <f aca="false">B32*Assumptions!$C$19+C32*Assumptions!$C$20+D32*Assumptions!$C$21</f>
        <v>128240</v>
      </c>
    </row>
    <row r="33" customFormat="false" ht="15" hidden="false" customHeight="false" outlineLevel="0" collapsed="false">
      <c r="A33" s="7" t="s">
        <v>104</v>
      </c>
      <c r="B33" s="17" t="n">
        <f aca="false">B29+B30</f>
        <v>50625</v>
      </c>
      <c r="C33" s="17" t="n">
        <f aca="false">C29+C30</f>
        <v>110000</v>
      </c>
      <c r="D33" s="17" t="n">
        <f aca="false">D29+D30</f>
        <v>228750</v>
      </c>
      <c r="E33" s="11" t="n">
        <f aca="false">B33*Assumptions!$C$19+C33*Assumptions!$C$20+D33*Assumptions!$C$21</f>
        <v>110000</v>
      </c>
    </row>
    <row r="34" customFormat="false" ht="15" hidden="false" customHeight="false" outlineLevel="0" collapsed="false">
      <c r="A34" s="10" t="s">
        <v>105</v>
      </c>
      <c r="B34" s="11" t="n">
        <f aca="false">B27-B32</f>
        <v>56000</v>
      </c>
      <c r="C34" s="11" t="n">
        <f aca="false">C27-C32</f>
        <v>165800</v>
      </c>
      <c r="D34" s="11" t="n">
        <f aca="false">D27-D32</f>
        <v>382200</v>
      </c>
      <c r="E34" s="11" t="n">
        <f aca="false">B34*Assumptions!$C$19+C34*Assumptions!$C$20+D34*Assumptions!$C$21</f>
        <v>165160</v>
      </c>
    </row>
    <row r="35" customFormat="false" ht="15" hidden="false" customHeight="false" outlineLevel="0" collapsed="false">
      <c r="A35" s="10" t="s">
        <v>106</v>
      </c>
      <c r="B35" s="11" t="n">
        <f aca="false">B26-B33</f>
        <v>48000</v>
      </c>
      <c r="C35" s="11" t="n">
        <f aca="false">C26-C33</f>
        <v>153000</v>
      </c>
      <c r="D35" s="11" t="n">
        <f aca="false">D26-D33</f>
        <v>363000</v>
      </c>
      <c r="E35" s="11" t="n">
        <f aca="false">B35*Assumptions!$C$19+C35*Assumptions!$C$20+D35*Assumptions!$C$21</f>
        <v>153000</v>
      </c>
    </row>
    <row r="36" customFormat="false" ht="15" hidden="false" customHeight="false" outlineLevel="0" collapsed="false">
      <c r="A36" s="7" t="s">
        <v>107</v>
      </c>
      <c r="B36" s="18" t="n">
        <f aca="false">B35/B26</f>
        <v>0.486692015209126</v>
      </c>
      <c r="C36" s="18" t="n">
        <f aca="false">C35/C26</f>
        <v>0.581749049429658</v>
      </c>
      <c r="D36" s="18" t="n">
        <f aca="false">D35/D26</f>
        <v>0.613434727503169</v>
      </c>
      <c r="E36" s="12" t="n">
        <f aca="false">B36*Assumptions!$C$19+C36*Assumptions!$C$20+D36*Assumptions!$C$21</f>
        <v>0.550063371356147</v>
      </c>
    </row>
    <row r="38" customFormat="false" ht="18" hidden="false" customHeight="true" outlineLevel="0" collapsed="false">
      <c r="A38" s="4" t="s">
        <v>108</v>
      </c>
      <c r="B38" s="4"/>
      <c r="C38" s="4"/>
      <c r="D38" s="4"/>
      <c r="E38" s="4"/>
    </row>
    <row r="39" customFormat="false" ht="15" hidden="false" customHeight="false" outlineLevel="0" collapsed="false">
      <c r="A39" s="5"/>
      <c r="B39" s="6" t="s">
        <v>27</v>
      </c>
      <c r="C39" s="6" t="s">
        <v>28</v>
      </c>
      <c r="D39" s="6" t="s">
        <v>29</v>
      </c>
      <c r="E39" s="6" t="s">
        <v>86</v>
      </c>
    </row>
    <row r="40" customFormat="false" ht="15" hidden="false" customHeight="false" outlineLevel="0" collapsed="false">
      <c r="A40" s="7" t="s">
        <v>92</v>
      </c>
      <c r="B40" s="19" t="n">
        <f aca="false">Assumptions!B19</f>
        <v>75</v>
      </c>
      <c r="C40" s="19" t="n">
        <f aca="false">Assumptions!B20</f>
        <v>200</v>
      </c>
      <c r="D40" s="19" t="n">
        <f aca="false">Assumptions!B21</f>
        <v>450</v>
      </c>
      <c r="E40" s="20" t="n">
        <f aca="false">B40*Assumptions!$C$19+C40*Assumptions!$C$20+D40*Assumptions!$C$21</f>
        <v>200</v>
      </c>
    </row>
    <row r="41" customFormat="false" ht="15" hidden="false" customHeight="false" outlineLevel="0" collapsed="false">
      <c r="A41" s="7" t="s">
        <v>109</v>
      </c>
      <c r="B41" s="17" t="n">
        <f aca="false">Assumptions!B53</f>
        <v>15000</v>
      </c>
      <c r="C41" s="17" t="n">
        <f aca="false">Assumptions!C53</f>
        <v>25000</v>
      </c>
      <c r="D41" s="17" t="n">
        <f aca="false">Assumptions!D53</f>
        <v>35000</v>
      </c>
      <c r="E41" s="11" t="n">
        <f aca="false">B41*Assumptions!$C$19+C41*Assumptions!$C$20+D41*Assumptions!$C$21</f>
        <v>23000</v>
      </c>
    </row>
    <row r="42" customFormat="false" ht="15" hidden="false" customHeight="false" outlineLevel="0" collapsed="false">
      <c r="A42" s="7" t="s">
        <v>110</v>
      </c>
      <c r="B42" s="21" t="n">
        <f aca="false">B40/Assumptions!$B$56</f>
        <v>0.5</v>
      </c>
      <c r="C42" s="21" t="n">
        <f aca="false">C40/Assumptions!$B$56</f>
        <v>1.33333333333333</v>
      </c>
      <c r="D42" s="21" t="n">
        <f aca="false">D40/Assumptions!$B$56</f>
        <v>3</v>
      </c>
      <c r="E42" s="22" t="n">
        <f aca="false">B42*Assumptions!$C$19+C42*Assumptions!$C$20+D42*Assumptions!$C$21</f>
        <v>1.33333333333333</v>
      </c>
    </row>
    <row r="43" customFormat="false" ht="15" hidden="false" customHeight="false" outlineLevel="0" collapsed="false">
      <c r="A43" s="7" t="s">
        <v>111</v>
      </c>
      <c r="B43" s="17" t="n">
        <f aca="false">B42*Assumptions!$B$54*(1+Assumptions!$B$55)</f>
        <v>79650</v>
      </c>
      <c r="C43" s="17" t="n">
        <f aca="false">C42*Assumptions!$B$54*(1+Assumptions!$B$55)</f>
        <v>212400</v>
      </c>
      <c r="D43" s="17" t="n">
        <f aca="false">D42*Assumptions!$B$54*(1+Assumptions!$B$55)</f>
        <v>477900</v>
      </c>
      <c r="E43" s="11" t="n">
        <f aca="false">B43*Assumptions!$C$19+C43*Assumptions!$C$20+D43*Assumptions!$C$21</f>
        <v>212400</v>
      </c>
    </row>
    <row r="44" customFormat="false" ht="15" hidden="false" customHeight="false" outlineLevel="0" collapsed="false">
      <c r="A44" s="7" t="s">
        <v>112</v>
      </c>
      <c r="B44" s="17" t="n">
        <f aca="false">B40*$B$8</f>
        <v>5715</v>
      </c>
      <c r="C44" s="17" t="n">
        <f aca="false">C40*$B$8</f>
        <v>15240</v>
      </c>
      <c r="D44" s="17" t="n">
        <f aca="false">D40*$B$8</f>
        <v>34290</v>
      </c>
      <c r="E44" s="11" t="n">
        <f aca="false">B44*Assumptions!$C$19+C44*Assumptions!$C$20+D44*Assumptions!$C$21</f>
        <v>15240</v>
      </c>
    </row>
    <row r="45" customFormat="false" ht="15" hidden="false" customHeight="false" outlineLevel="0" collapsed="false">
      <c r="A45" s="7" t="s">
        <v>113</v>
      </c>
      <c r="B45" s="17" t="n">
        <f aca="false">B40*$B$9</f>
        <v>10125</v>
      </c>
      <c r="C45" s="17" t="n">
        <f aca="false">C40*$B$9</f>
        <v>27000</v>
      </c>
      <c r="D45" s="17" t="n">
        <f aca="false">D40*$B$9</f>
        <v>60750</v>
      </c>
      <c r="E45" s="11" t="n">
        <f aca="false">B45*Assumptions!$C$19+C45*Assumptions!$C$20+D45*Assumptions!$C$21</f>
        <v>27000</v>
      </c>
    </row>
    <row r="46" customFormat="false" ht="15" hidden="false" customHeight="false" outlineLevel="0" collapsed="false">
      <c r="A46" s="10" t="s">
        <v>114</v>
      </c>
      <c r="B46" s="11" t="n">
        <f aca="false">B43+B44+B45</f>
        <v>95490</v>
      </c>
      <c r="C46" s="11" t="n">
        <f aca="false">C43+C44+C45</f>
        <v>254640</v>
      </c>
      <c r="D46" s="11" t="n">
        <f aca="false">D43+D44+D45</f>
        <v>572940</v>
      </c>
      <c r="E46" s="11" t="n">
        <f aca="false">B46*Assumptions!$C$19+C46*Assumptions!$C$20+D46*Assumptions!$C$21</f>
        <v>254640</v>
      </c>
    </row>
    <row r="47" customFormat="false" ht="15" hidden="false" customHeight="false" outlineLevel="0" collapsed="false">
      <c r="A47" s="10" t="s">
        <v>115</v>
      </c>
      <c r="B47" s="11" t="n">
        <f aca="false">B41+B46</f>
        <v>110490</v>
      </c>
      <c r="C47" s="11" t="n">
        <f aca="false">C41+C46</f>
        <v>279640</v>
      </c>
      <c r="D47" s="11" t="n">
        <f aca="false">D41+D46</f>
        <v>607940</v>
      </c>
      <c r="E47" s="11" t="n">
        <f aca="false">B47*Assumptions!$C$19+C47*Assumptions!$C$20+D47*Assumptions!$C$21</f>
        <v>277640</v>
      </c>
    </row>
    <row r="48" customFormat="false" ht="15" hidden="false" customHeight="false" outlineLevel="0" collapsed="false">
      <c r="A48" s="7" t="s">
        <v>116</v>
      </c>
      <c r="B48" s="17" t="n">
        <f aca="false">B42*Assumptions!$B$54</f>
        <v>67500</v>
      </c>
      <c r="C48" s="17" t="n">
        <f aca="false">C42*Assumptions!$B$54</f>
        <v>180000</v>
      </c>
      <c r="D48" s="17" t="n">
        <f aca="false">D42*Assumptions!$B$54</f>
        <v>405000</v>
      </c>
      <c r="E48" s="11" t="n">
        <f aca="false">B48*Assumptions!$C$19+C48*Assumptions!$C$20+D48*Assumptions!$C$21</f>
        <v>180000</v>
      </c>
    </row>
    <row r="49" customFormat="false" ht="15" hidden="false" customHeight="false" outlineLevel="0" collapsed="false">
      <c r="A49" s="7" t="s">
        <v>117</v>
      </c>
      <c r="B49" s="17" t="n">
        <f aca="false">B40*$B$7*Assumptions!$B$63</f>
        <v>952.5</v>
      </c>
      <c r="C49" s="17" t="n">
        <f aca="false">C40*$B$7*Assumptions!$B$63</f>
        <v>2540</v>
      </c>
      <c r="D49" s="17" t="n">
        <f aca="false">D40*$B$7*Assumptions!$B$63</f>
        <v>5715</v>
      </c>
      <c r="E49" s="11" t="n">
        <f aca="false">B49*Assumptions!$C$19+C49*Assumptions!$C$20+D49*Assumptions!$C$21</f>
        <v>2540</v>
      </c>
    </row>
    <row r="50" customFormat="false" ht="15" hidden="false" customHeight="false" outlineLevel="0" collapsed="false">
      <c r="A50" s="7" t="s">
        <v>118</v>
      </c>
      <c r="B50" s="17" t="n">
        <f aca="false">B41*Assumptions!$B$48</f>
        <v>9000</v>
      </c>
      <c r="C50" s="17" t="n">
        <f aca="false">C41*Assumptions!$B$48</f>
        <v>15000</v>
      </c>
      <c r="D50" s="17" t="n">
        <f aca="false">D41*Assumptions!$B$48</f>
        <v>21000</v>
      </c>
      <c r="E50" s="11" t="n">
        <f aca="false">B50*Assumptions!$C$19+C50*Assumptions!$C$20+D50*Assumptions!$C$21</f>
        <v>13800</v>
      </c>
    </row>
    <row r="51" customFormat="false" ht="15" hidden="false" customHeight="false" outlineLevel="0" collapsed="false">
      <c r="A51" s="7" t="s">
        <v>103</v>
      </c>
      <c r="B51" s="17" t="n">
        <f aca="false">B48+B49+B50</f>
        <v>77452.5</v>
      </c>
      <c r="C51" s="17" t="n">
        <f aca="false">C48+C49+C50</f>
        <v>197540</v>
      </c>
      <c r="D51" s="17" t="n">
        <f aca="false">D48+D49+D50</f>
        <v>431715</v>
      </c>
      <c r="E51" s="11" t="n">
        <f aca="false">B51*Assumptions!$C$19+C51*Assumptions!$C$20+D51*Assumptions!$C$21</f>
        <v>196340</v>
      </c>
    </row>
    <row r="52" customFormat="false" ht="15" hidden="false" customHeight="false" outlineLevel="0" collapsed="false">
      <c r="A52" s="7" t="s">
        <v>104</v>
      </c>
      <c r="B52" s="17" t="n">
        <f aca="false">B48+B49</f>
        <v>68452.5</v>
      </c>
      <c r="C52" s="17" t="n">
        <f aca="false">C48+C49</f>
        <v>182540</v>
      </c>
      <c r="D52" s="17" t="n">
        <f aca="false">D48+D49</f>
        <v>410715</v>
      </c>
      <c r="E52" s="11" t="n">
        <f aca="false">B52*Assumptions!$C$19+C52*Assumptions!$C$20+D52*Assumptions!$C$21</f>
        <v>182540</v>
      </c>
    </row>
    <row r="53" customFormat="false" ht="15" hidden="false" customHeight="false" outlineLevel="0" collapsed="false">
      <c r="A53" s="10" t="s">
        <v>105</v>
      </c>
      <c r="B53" s="11" t="n">
        <f aca="false">B47-B51</f>
        <v>33037.5</v>
      </c>
      <c r="C53" s="11" t="n">
        <f aca="false">C47-C51</f>
        <v>82100</v>
      </c>
      <c r="D53" s="11" t="n">
        <f aca="false">D47-D51</f>
        <v>176225</v>
      </c>
      <c r="E53" s="11" t="n">
        <f aca="false">B53*Assumptions!$C$19+C53*Assumptions!$C$20+D53*Assumptions!$C$21</f>
        <v>81300</v>
      </c>
    </row>
    <row r="54" customFormat="false" ht="15" hidden="false" customHeight="false" outlineLevel="0" collapsed="false">
      <c r="A54" s="10" t="s">
        <v>106</v>
      </c>
      <c r="B54" s="11" t="n">
        <f aca="false">B46-B52</f>
        <v>27037.5</v>
      </c>
      <c r="C54" s="11" t="n">
        <f aca="false">C46-C52</f>
        <v>72100</v>
      </c>
      <c r="D54" s="11" t="n">
        <f aca="false">D46-D52</f>
        <v>162225</v>
      </c>
      <c r="E54" s="11" t="n">
        <f aca="false">B54*Assumptions!$C$19+C54*Assumptions!$C$20+D54*Assumptions!$C$21</f>
        <v>72100</v>
      </c>
    </row>
    <row r="55" customFormat="false" ht="15" hidden="false" customHeight="false" outlineLevel="0" collapsed="false">
      <c r="A55" s="7" t="s">
        <v>107</v>
      </c>
      <c r="B55" s="18" t="n">
        <f aca="false">B54/B46</f>
        <v>0.283144831919573</v>
      </c>
      <c r="C55" s="18" t="n">
        <f aca="false">C54/C46</f>
        <v>0.283144831919573</v>
      </c>
      <c r="D55" s="18" t="n">
        <f aca="false">D54/D46</f>
        <v>0.283144831919573</v>
      </c>
      <c r="E55" s="12" t="n">
        <f aca="false">B55*Assumptions!$C$19+C55*Assumptions!$C$20+D55*Assumptions!$C$21</f>
        <v>0.283144831919573</v>
      </c>
    </row>
  </sheetData>
  <mergeCells count="5">
    <mergeCell ref="A1:E1"/>
    <mergeCell ref="A3:E3"/>
    <mergeCell ref="A12:E12"/>
    <mergeCell ref="A19:E19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3"/>
  </cols>
  <sheetData>
    <row r="1" customFormat="false" ht="21.75" hidden="false" customHeight="true" outlineLevel="0" collapsed="false">
      <c r="A1" s="1" t="s">
        <v>119</v>
      </c>
      <c r="B1" s="1"/>
      <c r="C1" s="1"/>
      <c r="D1" s="1"/>
    </row>
    <row r="2" customFormat="false" ht="19.4" hidden="false" customHeight="true" outlineLevel="0" collapsed="false">
      <c r="A2" s="13" t="s">
        <v>120</v>
      </c>
      <c r="B2" s="13"/>
      <c r="C2" s="13"/>
      <c r="D2" s="13"/>
    </row>
    <row r="4" customFormat="false" ht="15" hidden="false" customHeight="false" outlineLevel="0" collapsed="false">
      <c r="A4" s="5"/>
      <c r="B4" s="6" t="s">
        <v>68</v>
      </c>
      <c r="C4" s="6" t="s">
        <v>69</v>
      </c>
      <c r="D4" s="6" t="s">
        <v>70</v>
      </c>
    </row>
    <row r="5" customFormat="false" ht="18" hidden="false" customHeight="true" outlineLevel="0" collapsed="false">
      <c r="A5" s="4" t="s">
        <v>121</v>
      </c>
      <c r="B5" s="4"/>
      <c r="C5" s="4"/>
      <c r="D5" s="4"/>
    </row>
    <row r="6" customFormat="false" ht="15" hidden="false" customHeight="false" outlineLevel="0" collapsed="false">
      <c r="A6" s="7" t="s">
        <v>122</v>
      </c>
      <c r="B6" s="19" t="n">
        <f aca="false">Assumptions!B69</f>
        <v>8</v>
      </c>
      <c r="C6" s="19" t="n">
        <f aca="false">Assumptions!C69</f>
        <v>10</v>
      </c>
      <c r="D6" s="19" t="n">
        <f aca="false">Assumptions!D69</f>
        <v>12</v>
      </c>
    </row>
    <row r="7" customFormat="false" ht="15" hidden="false" customHeight="false" outlineLevel="0" collapsed="false">
      <c r="A7" s="7" t="s">
        <v>123</v>
      </c>
      <c r="B7" s="19" t="n">
        <f aca="false">Assumptions!B70</f>
        <v>5</v>
      </c>
      <c r="C7" s="19" t="n">
        <f aca="false">Assumptions!C70</f>
        <v>15</v>
      </c>
      <c r="D7" s="19" t="n">
        <f aca="false">Assumptions!D70</f>
        <v>25</v>
      </c>
    </row>
    <row r="8" customFormat="false" ht="15" hidden="false" customHeight="false" outlineLevel="0" collapsed="false">
      <c r="A8" s="7" t="s">
        <v>124</v>
      </c>
      <c r="B8" s="19" t="n">
        <f aca="false">Assumptions!B71</f>
        <v>2</v>
      </c>
      <c r="C8" s="19" t="n">
        <f aca="false">Assumptions!C71</f>
        <v>5</v>
      </c>
      <c r="D8" s="19" t="n">
        <f aca="false">Assumptions!D71</f>
        <v>10</v>
      </c>
    </row>
    <row r="10" customFormat="false" ht="18" hidden="false" customHeight="true" outlineLevel="0" collapsed="false">
      <c r="A10" s="4" t="s">
        <v>125</v>
      </c>
      <c r="B10" s="4"/>
      <c r="C10" s="4"/>
      <c r="D10" s="4"/>
    </row>
    <row r="11" customFormat="false" ht="15" hidden="false" customHeight="false" outlineLevel="0" collapsed="false">
      <c r="A11" s="7" t="s">
        <v>126</v>
      </c>
      <c r="B11" s="23" t="n">
        <f aca="false">B7</f>
        <v>5</v>
      </c>
      <c r="C11" s="23" t="n">
        <f aca="false">B11*Assumptions!$B$72+C7</f>
        <v>19.5</v>
      </c>
      <c r="D11" s="23" t="n">
        <f aca="false">C11*Assumptions!$B$72+D7</f>
        <v>42.55</v>
      </c>
    </row>
    <row r="12" customFormat="false" ht="15" hidden="false" customHeight="false" outlineLevel="0" collapsed="false">
      <c r="A12" s="7" t="s">
        <v>127</v>
      </c>
      <c r="B12" s="23" t="n">
        <f aca="false">B8</f>
        <v>2</v>
      </c>
      <c r="C12" s="23" t="n">
        <f aca="false">B12*Assumptions!$B$73+C8</f>
        <v>6.8</v>
      </c>
      <c r="D12" s="23" t="n">
        <f aca="false">C12*Assumptions!$B$73+D8</f>
        <v>16.12</v>
      </c>
    </row>
    <row r="14" customFormat="false" ht="18" hidden="false" customHeight="true" outlineLevel="0" collapsed="false">
      <c r="A14" s="4" t="s">
        <v>128</v>
      </c>
      <c r="B14" s="4"/>
      <c r="C14" s="4"/>
      <c r="D14" s="4"/>
    </row>
    <row r="15" customFormat="false" ht="15" hidden="false" customHeight="false" outlineLevel="0" collapsed="false">
      <c r="A15" s="7" t="s">
        <v>129</v>
      </c>
      <c r="B15" s="23" t="n">
        <f aca="false">B11*'Unit Economics'!$E$28</f>
        <v>5</v>
      </c>
      <c r="C15" s="23" t="n">
        <f aca="false">C11*'Unit Economics'!$E$28</f>
        <v>19.5</v>
      </c>
      <c r="D15" s="23" t="n">
        <f aca="false">D11*'Unit Economics'!$E$28</f>
        <v>42.55</v>
      </c>
    </row>
    <row r="16" customFormat="false" ht="15" hidden="false" customHeight="false" outlineLevel="0" collapsed="false">
      <c r="A16" s="7" t="s">
        <v>130</v>
      </c>
      <c r="B16" s="23" t="n">
        <f aca="false">B12*'Unit Economics'!$E$42</f>
        <v>2.66666666666667</v>
      </c>
      <c r="C16" s="23" t="n">
        <f aca="false">C12*'Unit Economics'!$E$42</f>
        <v>9.06666666666667</v>
      </c>
      <c r="D16" s="23" t="n">
        <f aca="false">D12*'Unit Economics'!$E$42</f>
        <v>21.4933333333333</v>
      </c>
    </row>
    <row r="18" customFormat="false" ht="18" hidden="false" customHeight="true" outlineLevel="0" collapsed="false">
      <c r="A18" s="4" t="s">
        <v>131</v>
      </c>
      <c r="B18" s="4"/>
      <c r="C18" s="4"/>
      <c r="D18" s="4"/>
    </row>
    <row r="19" customFormat="false" ht="15" hidden="false" customHeight="false" outlineLevel="0" collapsed="false">
      <c r="A19" s="7" t="s">
        <v>132</v>
      </c>
      <c r="B19" s="17" t="n">
        <f aca="false">B6*'Unit Economics'!$E$14</f>
        <v>728000</v>
      </c>
      <c r="C19" s="17" t="n">
        <f aca="false">C6*'Unit Economics'!$E$14</f>
        <v>910000</v>
      </c>
      <c r="D19" s="17" t="n">
        <f aca="false">D6*'Unit Economics'!$E$14</f>
        <v>1092000</v>
      </c>
    </row>
    <row r="20" customFormat="false" ht="15" hidden="false" customHeight="false" outlineLevel="0" collapsed="false">
      <c r="A20" s="7" t="s">
        <v>133</v>
      </c>
      <c r="B20" s="17" t="n">
        <f aca="false">B7*'Unit Economics'!$E$27+(B11-B7)*'Unit Economics'!$E$26</f>
        <v>1467000</v>
      </c>
      <c r="C20" s="17" t="n">
        <f aca="false">C7*'Unit Economics'!$E$27+(C11-C7)*'Unit Economics'!$E$26</f>
        <v>5584500</v>
      </c>
      <c r="D20" s="17" t="n">
        <f aca="false">D7*'Unit Economics'!$E$27+(D11-D7)*'Unit Economics'!$E$26</f>
        <v>11950650</v>
      </c>
    </row>
    <row r="21" customFormat="false" ht="15" hidden="false" customHeight="false" outlineLevel="0" collapsed="false">
      <c r="A21" s="7" t="s">
        <v>134</v>
      </c>
      <c r="B21" s="17" t="n">
        <f aca="false">B8*'Unit Economics'!$E$47+(B12-B8)*'Unit Economics'!$E$46</f>
        <v>555280</v>
      </c>
      <c r="C21" s="17" t="n">
        <f aca="false">C8*'Unit Economics'!$E$47+(C12-C8)*'Unit Economics'!$E$46</f>
        <v>1846552</v>
      </c>
      <c r="D21" s="17" t="n">
        <f aca="false">D8*'Unit Economics'!$E$47+(D12-D8)*'Unit Economics'!$E$46</f>
        <v>4334796.8</v>
      </c>
    </row>
    <row r="22" customFormat="false" ht="15" hidden="false" customHeight="false" outlineLevel="0" collapsed="false">
      <c r="A22" s="10" t="s">
        <v>135</v>
      </c>
      <c r="B22" s="11" t="n">
        <f aca="false">SUM(B19:B21)</f>
        <v>2750280</v>
      </c>
      <c r="C22" s="11" t="n">
        <f aca="false">SUM(C19:C21)</f>
        <v>8341052</v>
      </c>
      <c r="D22" s="11" t="n">
        <f aca="false">SUM(D19:D21)</f>
        <v>17377446.8</v>
      </c>
    </row>
    <row r="24" customFormat="false" ht="18" hidden="false" customHeight="true" outlineLevel="0" collapsed="false">
      <c r="A24" s="4" t="s">
        <v>136</v>
      </c>
      <c r="B24" s="4"/>
      <c r="C24" s="4"/>
      <c r="D24" s="4"/>
    </row>
    <row r="25" customFormat="false" ht="15" hidden="false" customHeight="false" outlineLevel="0" collapsed="false">
      <c r="A25" s="7" t="s">
        <v>137</v>
      </c>
      <c r="B25" s="17" t="n">
        <f aca="false">B6*'Unit Economics'!$E$15</f>
        <v>182000</v>
      </c>
      <c r="C25" s="17" t="n">
        <f aca="false">C6*'Unit Economics'!$E$15</f>
        <v>227500</v>
      </c>
      <c r="D25" s="17" t="n">
        <f aca="false">D6*'Unit Economics'!$E$15</f>
        <v>273000</v>
      </c>
    </row>
    <row r="26" customFormat="false" ht="15" hidden="false" customHeight="false" outlineLevel="0" collapsed="false">
      <c r="A26" s="7" t="s">
        <v>138</v>
      </c>
      <c r="B26" s="17" t="n">
        <f aca="false">B7*'Unit Economics'!$E$32+(B11-B7)*'Unit Economics'!$E$33</f>
        <v>641200</v>
      </c>
      <c r="C26" s="17" t="n">
        <f aca="false">C7*'Unit Economics'!$E$32+(C11-C7)*'Unit Economics'!$E$33</f>
        <v>2418600</v>
      </c>
      <c r="D26" s="17" t="n">
        <f aca="false">D7*'Unit Economics'!$E$32+(D11-D7)*'Unit Economics'!$E$33</f>
        <v>5136500</v>
      </c>
    </row>
    <row r="27" customFormat="false" ht="15" hidden="false" customHeight="false" outlineLevel="0" collapsed="false">
      <c r="A27" s="7" t="s">
        <v>139</v>
      </c>
      <c r="B27" s="17" t="n">
        <f aca="false">B8*'Unit Economics'!$E$51+(B12-B8)*'Unit Economics'!$E$52</f>
        <v>392680</v>
      </c>
      <c r="C27" s="17" t="n">
        <f aca="false">C8*'Unit Economics'!$E$51+(C12-C8)*'Unit Economics'!$E$52</f>
        <v>1310272</v>
      </c>
      <c r="D27" s="17" t="n">
        <f aca="false">D8*'Unit Economics'!$E$51+(D12-D8)*'Unit Economics'!$E$52</f>
        <v>3080544.8</v>
      </c>
    </row>
    <row r="28" customFormat="false" ht="15" hidden="false" customHeight="false" outlineLevel="0" collapsed="false">
      <c r="A28" s="10" t="s">
        <v>140</v>
      </c>
      <c r="B28" s="11" t="n">
        <f aca="false">SUM(B25:B27)</f>
        <v>1215880</v>
      </c>
      <c r="C28" s="11" t="n">
        <f aca="false">SUM(C25:C27)</f>
        <v>3956372</v>
      </c>
      <c r="D28" s="11" t="n">
        <f aca="false">SUM(D25:D27)</f>
        <v>8490044.8</v>
      </c>
    </row>
    <row r="30" customFormat="false" ht="18" hidden="false" customHeight="true" outlineLevel="0" collapsed="false">
      <c r="A30" s="4" t="s">
        <v>141</v>
      </c>
      <c r="B30" s="4"/>
      <c r="C30" s="4"/>
      <c r="D30" s="4"/>
    </row>
    <row r="31" customFormat="false" ht="15" hidden="false" customHeight="false" outlineLevel="0" collapsed="false">
      <c r="A31" s="10" t="s">
        <v>89</v>
      </c>
      <c r="B31" s="11" t="n">
        <f aca="false">B22-B28</f>
        <v>1534400</v>
      </c>
      <c r="C31" s="11" t="n">
        <f aca="false">C22-C28</f>
        <v>4384680</v>
      </c>
      <c r="D31" s="11" t="n">
        <f aca="false">D22-D28</f>
        <v>8887402</v>
      </c>
    </row>
    <row r="32" customFormat="false" ht="15" hidden="false" customHeight="false" outlineLevel="0" collapsed="false">
      <c r="A32" s="10" t="s">
        <v>90</v>
      </c>
      <c r="B32" s="12" t="n">
        <f aca="false">B31/B22</f>
        <v>0.557906831304449</v>
      </c>
      <c r="C32" s="12" t="n">
        <f aca="false">C31/C22</f>
        <v>0.525674699066737</v>
      </c>
      <c r="D32" s="12" t="n">
        <f aca="false">D31/D22</f>
        <v>0.5114331295205</v>
      </c>
    </row>
  </sheetData>
  <mergeCells count="8">
    <mergeCell ref="A1:D1"/>
    <mergeCell ref="A2:D2"/>
    <mergeCell ref="A5:D5"/>
    <mergeCell ref="A10:D10"/>
    <mergeCell ref="A14:D14"/>
    <mergeCell ref="A18:D18"/>
    <mergeCell ref="A24:D24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3"/>
  </cols>
  <sheetData>
    <row r="1" customFormat="false" ht="21.75" hidden="false" customHeight="true" outlineLevel="0" collapsed="false">
      <c r="A1" s="1" t="s">
        <v>142</v>
      </c>
      <c r="B1" s="1"/>
      <c r="C1" s="1"/>
      <c r="D1" s="1"/>
    </row>
    <row r="3" customFormat="false" ht="18" hidden="false" customHeight="true" outlineLevel="0" collapsed="false">
      <c r="A3" s="4" t="s">
        <v>143</v>
      </c>
      <c r="B3" s="4"/>
      <c r="C3" s="4"/>
      <c r="D3" s="4"/>
    </row>
    <row r="4" customFormat="false" ht="15" hidden="false" customHeight="false" outlineLevel="0" collapsed="false">
      <c r="A4" s="5"/>
      <c r="B4" s="6" t="s">
        <v>68</v>
      </c>
      <c r="C4" s="6" t="s">
        <v>69</v>
      </c>
      <c r="D4" s="6" t="s">
        <v>70</v>
      </c>
    </row>
    <row r="5" customFormat="false" ht="15" hidden="false" customHeight="false" outlineLevel="0" collapsed="false">
      <c r="A5" s="7" t="s">
        <v>144</v>
      </c>
      <c r="B5" s="17" t="n">
        <f aca="false">'3-Year Build'!B19</f>
        <v>728000</v>
      </c>
      <c r="C5" s="17" t="n">
        <f aca="false">'3-Year Build'!C19</f>
        <v>910000</v>
      </c>
      <c r="D5" s="17" t="n">
        <f aca="false">'3-Year Build'!D19</f>
        <v>1092000</v>
      </c>
    </row>
    <row r="6" customFormat="false" ht="15" hidden="false" customHeight="false" outlineLevel="0" collapsed="false">
      <c r="A6" s="7" t="s">
        <v>145</v>
      </c>
      <c r="B6" s="17" t="n">
        <f aca="false">'3-Year Build'!B20</f>
        <v>1467000</v>
      </c>
      <c r="C6" s="17" t="n">
        <f aca="false">'3-Year Build'!C20</f>
        <v>5584500</v>
      </c>
      <c r="D6" s="17" t="n">
        <f aca="false">'3-Year Build'!D20</f>
        <v>11950650</v>
      </c>
    </row>
    <row r="7" customFormat="false" ht="15" hidden="false" customHeight="false" outlineLevel="0" collapsed="false">
      <c r="A7" s="7" t="s">
        <v>146</v>
      </c>
      <c r="B7" s="17" t="n">
        <f aca="false">'3-Year Build'!B21</f>
        <v>555280</v>
      </c>
      <c r="C7" s="17" t="n">
        <f aca="false">'3-Year Build'!C21</f>
        <v>1846552</v>
      </c>
      <c r="D7" s="17" t="n">
        <f aca="false">'3-Year Build'!D21</f>
        <v>4334796.8</v>
      </c>
    </row>
    <row r="8" customFormat="false" ht="15" hidden="false" customHeight="false" outlineLevel="0" collapsed="false">
      <c r="A8" s="10" t="s">
        <v>147</v>
      </c>
      <c r="B8" s="11" t="n">
        <f aca="false">'3-Year Build'!B22</f>
        <v>2750280</v>
      </c>
      <c r="C8" s="11" t="n">
        <f aca="false">'3-Year Build'!C22</f>
        <v>8341052</v>
      </c>
      <c r="D8" s="11" t="n">
        <f aca="false">'3-Year Build'!D22</f>
        <v>17377446.8</v>
      </c>
    </row>
    <row r="10" customFormat="false" ht="15" hidden="false" customHeight="false" outlineLevel="0" collapsed="false">
      <c r="A10" s="10" t="s">
        <v>148</v>
      </c>
      <c r="B10" s="11" t="n">
        <f aca="false">'3-Year Build'!B31</f>
        <v>1534400</v>
      </c>
      <c r="C10" s="11" t="n">
        <f aca="false">'3-Year Build'!C31</f>
        <v>4384680</v>
      </c>
      <c r="D10" s="11" t="n">
        <f aca="false">'3-Year Build'!D31</f>
        <v>8887402</v>
      </c>
    </row>
    <row r="11" customFormat="false" ht="15" hidden="false" customHeight="false" outlineLevel="0" collapsed="false">
      <c r="A11" s="10" t="s">
        <v>149</v>
      </c>
      <c r="B11" s="12" t="n">
        <f aca="false">'3-Year Build'!B32</f>
        <v>0.557906831304449</v>
      </c>
      <c r="C11" s="12" t="n">
        <f aca="false">'3-Year Build'!C32</f>
        <v>0.525674699066737</v>
      </c>
      <c r="D11" s="12" t="n">
        <f aca="false">'3-Year Build'!D32</f>
        <v>0.5114331295205</v>
      </c>
    </row>
    <row r="13" customFormat="false" ht="15" hidden="false" customHeight="false" outlineLevel="0" collapsed="false">
      <c r="A13" s="10" t="s">
        <v>150</v>
      </c>
    </row>
    <row r="14" customFormat="false" ht="15" hidden="false" customHeight="false" outlineLevel="0" collapsed="false">
      <c r="A14" s="7" t="s">
        <v>151</v>
      </c>
      <c r="B14" s="19" t="n">
        <f aca="false">'3-Year Build'!B6</f>
        <v>8</v>
      </c>
      <c r="C14" s="19" t="n">
        <f aca="false">'3-Year Build'!C6</f>
        <v>10</v>
      </c>
      <c r="D14" s="19" t="n">
        <f aca="false">'3-Year Build'!D6</f>
        <v>12</v>
      </c>
    </row>
    <row r="15" customFormat="false" ht="15" hidden="false" customHeight="false" outlineLevel="0" collapsed="false">
      <c r="A15" s="7" t="s">
        <v>152</v>
      </c>
      <c r="B15" s="23" t="n">
        <f aca="false">'3-Year Build'!B11</f>
        <v>5</v>
      </c>
      <c r="C15" s="23" t="n">
        <f aca="false">'3-Year Build'!C11</f>
        <v>19.5</v>
      </c>
      <c r="D15" s="23" t="n">
        <f aca="false">'3-Year Build'!D11</f>
        <v>42.55</v>
      </c>
    </row>
    <row r="16" customFormat="false" ht="15" hidden="false" customHeight="false" outlineLevel="0" collapsed="false">
      <c r="A16" s="7" t="s">
        <v>153</v>
      </c>
      <c r="B16" s="23" t="n">
        <f aca="false">'3-Year Build'!B12</f>
        <v>2</v>
      </c>
      <c r="C16" s="23" t="n">
        <f aca="false">'3-Year Build'!C12</f>
        <v>6.8</v>
      </c>
      <c r="D16" s="23" t="n">
        <f aca="false">'3-Year Build'!D12</f>
        <v>16.12</v>
      </c>
    </row>
    <row r="18" customFormat="false" ht="19.4" hidden="false" customHeight="true" outlineLevel="0" collapsed="false">
      <c r="A18" s="13" t="s">
        <v>154</v>
      </c>
      <c r="B18" s="13"/>
      <c r="C18" s="13"/>
      <c r="D18" s="13"/>
    </row>
  </sheetData>
  <mergeCells count="3">
    <mergeCell ref="A1:D1"/>
    <mergeCell ref="A3:D3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2026-08-03T20:43:51Z</dcterms:created>
  <dc:creator>openpyxl</dc:creator>
  <dc:description/>
  <dc:language>en-US</dc:language>
  <cp:lastModifiedBy/>
  <dcterms:modified xsi:type="dcterms:W3CDTF">2026-08-03T20:43:52Z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