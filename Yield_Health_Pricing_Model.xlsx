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3-Year Buil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$#,##0.00;($#,##0.00);&quot;-&quot;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E4B3A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E4B3A"/>
      </patternFill>
    </fill>
    <fill>
      <patternFill patternType="solid">
        <fgColor rgb="008FA68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8" fillId="0" borderId="0" applyAlignment="1" pivotButton="0" quotePrefix="0" xfId="0">
      <alignment vertical="top" wrapText="1"/>
    </xf>
    <xf numFmtId="165" fontId="0" fillId="0" borderId="0" pivotButton="0" quotePrefix="0" xfId="0"/>
    <xf numFmtId="3" fontId="7" fillId="0" borderId="0" pivotButton="0" quotePrefix="0" xfId="0"/>
    <xf numFmtId="166" fontId="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3" fontId="3" fillId="0" borderId="0" pivotButton="0" quotePrefix="0" xfId="0"/>
    <xf numFmtId="2" fontId="6" fillId="0" borderId="0" pivotButton="0" quotePrefix="0" xfId="0"/>
    <xf numFmtId="2" fontId="3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Tier ($)</a:t>
            </a:r>
          </a:p>
        </rich>
      </tx>
    </title>
    <plotArea>
      <barChart>
        <barDir val="col"/>
        <grouping val="stacked"/>
        <ser>
          <idx val="0"/>
          <order val="0"/>
          <tx>
            <v>Advisory</v>
          </tx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'Summary'!$B$5:$D$5</f>
            </numRef>
          </val>
        </ser>
        <ser>
          <idx val="1"/>
          <order val="1"/>
          <tx>
            <v>Platform</v>
          </tx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'Summary'!$B$6:$D$6</f>
            </numRef>
          </val>
        </ser>
        <ser>
          <idx val="2"/>
          <order val="2"/>
          <tx>
            <v>Embedded</v>
          </tx>
          <spPr>
            <a:ln xmlns:a="http://schemas.openxmlformats.org/drawingml/2006/main">
              <a:prstDash val="solid"/>
            </a:ln>
          </spPr>
          <cat>
            <numRef>
              <f>'Summary'!$B$4:$D$4</f>
            </numRef>
          </cat>
          <val>
            <numRef>
              <f>'Summary'!$B$7:$D$7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90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2" ht="28" customHeight="1">
      <c r="A2" s="1" t="inlineStr">
        <is>
          <t>YIELD HEALTH — TEAM EPISODE MANAGEMENT PRICING MODEL</t>
        </is>
      </c>
    </row>
    <row r="4" ht="30" customHeight="1">
      <c r="B4" s="2" t="inlineStr">
        <is>
          <t>This workbook models three service tiers for Yield Health, a company managing hospitals through CMS's mandatory Transforming Episode Accountability Model (TEAM).</t>
        </is>
      </c>
    </row>
    <row r="5" ht="15" customHeight="1">
      <c r="B5" s="2" t="inlineStr"/>
    </row>
    <row r="6" ht="15" customHeight="1">
      <c r="B6" s="3" t="inlineStr">
        <is>
          <t>Tabs:</t>
        </is>
      </c>
    </row>
    <row r="7" ht="30" customHeight="1">
      <c r="B7" s="2" t="inlineStr">
        <is>
          <t xml:space="preserve">  Assumptions — every input the model runs on (episode pricing, hospital sizing, tier pricing, staffing costs, CMS billing rates, customer acquisition plan). Blue text = editable input.</t>
        </is>
      </c>
    </row>
    <row r="8" ht="30" customHeight="1">
      <c r="B8" s="2" t="inlineStr">
        <is>
          <t xml:space="preserve">  Unit Economics — per-hospital revenue, cost, and margin for each tier at Small / Medium / Large hospital size, plus a size-blended figure.</t>
        </is>
      </c>
    </row>
    <row r="9" ht="30" customHeight="1">
      <c r="B9" s="2" t="inlineStr">
        <is>
          <t xml:space="preserve">  3-Year Build — customer count ramp by tier and year, driving total revenue, cost, and gross profit.</t>
        </is>
      </c>
    </row>
    <row r="10" ht="15" customHeight="1">
      <c r="B10" s="2" t="inlineStr">
        <is>
          <t xml:space="preserve">  Summary — company-level rollup and a revenue-by-tier chart.</t>
        </is>
      </c>
    </row>
    <row r="11" ht="15" customHeight="1">
      <c r="B11" s="2" t="inlineStr"/>
    </row>
    <row r="12" ht="30" customHeight="1">
      <c r="B12" s="2" t="inlineStr">
        <is>
          <t>How to use it: change any blue cell on the Assumptions tab and every other tab recalculates. All dollar figures are illustrative planning assumptions unless a source is cited in an adjacent note — this is a planning model, not a quote or a filed rate schedule.</t>
        </is>
      </c>
    </row>
    <row r="13" ht="15" customHeight="1">
      <c r="B13" s="2" t="inlineStr"/>
    </row>
    <row r="14" ht="30" customHeight="1">
      <c r="B14" s="2" t="inlineStr">
        <is>
          <t>Sourced figures (verified July 2026): CMS TEAM final rule structure (188 CBSAs, ~741 mandated hospitals, 5 episode types, 3 participation tracks); 2026 Medicare Physician Fee Schedule national average rates for CPT 99495/99496 (Transitional Care Management), CPT 99490 (Chronic Care Management), and HCPCS G0023/G0024 (Principal Illness Navigation). Everything else — target prices, take rates, staffing ratios, customer ramp — is a labeled planning assumption for Yield Health to refine with real data.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16" customWidth="1" min="2" max="2"/>
    <col width="16" customWidth="1" min="3" max="3"/>
    <col width="16" customWidth="1" min="4" max="4"/>
    <col width="3" customWidth="1" min="5" max="5"/>
    <col width="60" customWidth="1" min="6" max="6"/>
  </cols>
  <sheetData>
    <row r="1" ht="22" customHeight="1">
      <c r="A1" s="1" t="inlineStr">
        <is>
          <t>ASSUMPTIONS</t>
        </is>
      </c>
    </row>
    <row r="3" ht="18" customHeight="1">
      <c r="A3" s="4" t="inlineStr">
        <is>
          <t>1. EPISODE ECONOMICS (per TEAM episode)</t>
        </is>
      </c>
    </row>
    <row r="4">
      <c r="A4" s="5" t="inlineStr">
        <is>
          <t>Episode Type</t>
        </is>
      </c>
      <c r="B4" s="6" t="inlineStr">
        <is>
          <t>Target Price ($)</t>
        </is>
      </c>
      <c r="C4" s="6" t="inlineStr">
        <is>
          <t>Volume Mix (%)</t>
        </is>
      </c>
    </row>
    <row r="5">
      <c r="A5" s="7" t="inlineStr">
        <is>
          <t>Lower extremity joint replacement (LEJR)</t>
        </is>
      </c>
      <c r="B5" s="8" t="n">
        <v>21000</v>
      </c>
      <c r="C5" s="9" t="n">
        <v>0.55</v>
      </c>
    </row>
    <row r="6">
      <c r="A6" s="7" t="inlineStr">
        <is>
          <t>Surgical hip/femur fracture (SHFFT)</t>
        </is>
      </c>
      <c r="B6" s="8" t="n">
        <v>27000</v>
      </c>
      <c r="C6" s="9" t="n">
        <v>0.15</v>
      </c>
    </row>
    <row r="7">
      <c r="A7" s="7" t="inlineStr">
        <is>
          <t>Spinal fusion</t>
        </is>
      </c>
      <c r="B7" s="8" t="n">
        <v>34000</v>
      </c>
      <c r="C7" s="9" t="n">
        <v>0.1</v>
      </c>
    </row>
    <row r="8">
      <c r="A8" s="7" t="inlineStr">
        <is>
          <t>Coronary artery bypass graft (CABG)</t>
        </is>
      </c>
      <c r="B8" s="8" t="n">
        <v>42000</v>
      </c>
      <c r="C8" s="9" t="n">
        <v>0.1</v>
      </c>
    </row>
    <row r="9">
      <c r="A9" s="7" t="inlineStr">
        <is>
          <t>Major bowel procedure</t>
        </is>
      </c>
      <c r="B9" s="8" t="n">
        <v>24000</v>
      </c>
      <c r="C9" s="9" t="n">
        <v>0.1</v>
      </c>
    </row>
    <row r="10">
      <c r="A10" s="10" t="inlineStr">
        <is>
          <t>Blended weighted average target price / mix check</t>
        </is>
      </c>
      <c r="B10" s="11">
        <f>SUMPRODUCT(B5:B9,C5:C9)</f>
        <v/>
      </c>
      <c r="C10" s="12">
        <f>SUM(C5:C9)</f>
        <v/>
      </c>
    </row>
    <row r="11">
      <c r="A11" s="13" t="inlineStr">
        <is>
          <t>Target prices are illustrative planning assumptions consistent with historical BPCI/CJR episode benchmarks and CMS's reported ~$18B / ~900K episodes (~$20K blended, all sites). Confirm against actual regional TEAM target prices once published for your markets.</t>
        </is>
      </c>
    </row>
    <row r="13">
      <c r="A13" s="7" t="inlineStr">
        <is>
          <t>Standard-complexity share (LEJR + SHFFT + Major Bowel)</t>
        </is>
      </c>
      <c r="B13" s="14">
        <f>C5+C6+C9</f>
        <v/>
      </c>
    </row>
    <row r="14">
      <c r="A14" s="7" t="inlineStr">
        <is>
          <t>High-complexity share (Spinal Fusion + CABG)</t>
        </is>
      </c>
      <c r="B14" s="14">
        <f>C7+C8</f>
        <v/>
      </c>
    </row>
    <row r="17" ht="18" customHeight="1">
      <c r="A17" s="4" t="inlineStr">
        <is>
          <t>2. HOSPITAL SIZE TIERS</t>
        </is>
      </c>
    </row>
    <row r="18">
      <c r="A18" s="5" t="inlineStr">
        <is>
          <t>Size Tier</t>
        </is>
      </c>
      <c r="B18" s="6" t="inlineStr">
        <is>
          <t>Annual TEAM Episodes</t>
        </is>
      </c>
      <c r="C18" s="6" t="inlineStr">
        <is>
          <t>Share of 741 Hospitals</t>
        </is>
      </c>
    </row>
    <row r="19">
      <c r="A19" s="7" t="inlineStr">
        <is>
          <t>Small</t>
        </is>
      </c>
      <c r="B19" s="15" t="n">
        <v>75</v>
      </c>
      <c r="C19" s="9" t="n">
        <v>0.4</v>
      </c>
    </row>
    <row r="20">
      <c r="A20" s="7" t="inlineStr">
        <is>
          <t>Medium</t>
        </is>
      </c>
      <c r="B20" s="15" t="n">
        <v>200</v>
      </c>
      <c r="C20" s="9" t="n">
        <v>0.4</v>
      </c>
    </row>
    <row r="21">
      <c r="A21" s="7" t="inlineStr">
        <is>
          <t>Large</t>
        </is>
      </c>
      <c r="B21" s="15" t="n">
        <v>450</v>
      </c>
      <c r="C21" s="9" t="n">
        <v>0.2</v>
      </c>
    </row>
    <row r="22">
      <c r="A22" s="10" t="inlineStr">
        <is>
          <t>Distribution check (should be 100%)</t>
        </is>
      </c>
      <c r="C22" s="14">
        <f>SUM(C19:C21)</f>
        <v/>
      </c>
    </row>
    <row r="23">
      <c r="A23" s="13" t="inlineStr">
        <is>
          <t>741 hospitals mandated into TEAM across 188 CBSAs (CMS TEAM final rule). Size distribution and per-hospital episode volume are planning assumptions — replace with actual CMS-published hospital-level episode counts as they become available.</t>
        </is>
      </c>
    </row>
    <row r="25" ht="18" customHeight="1">
      <c r="A25" s="4" t="inlineStr">
        <is>
          <t>3. RECONCILIATION ASSUMPTIONS</t>
        </is>
      </c>
    </row>
    <row r="26">
      <c r="A26" s="7" t="inlineStr">
        <is>
          <t>Share of episodes landing net-positive ("savers") with Yield Health</t>
        </is>
      </c>
      <c r="B26" s="9" t="n">
        <v>0.5</v>
      </c>
    </row>
    <row r="27">
      <c r="A27" s="7" t="inlineStr">
        <is>
          <t>Avg positive reconciliation captured per saver episode ($)</t>
        </is>
      </c>
      <c r="B27" s="8" t="n">
        <v>1800</v>
      </c>
    </row>
    <row r="28">
      <c r="A28" s="13" t="inlineStr">
        <is>
          <t>CMS's own data shows ~66% of hospitals are projected net payers absent intervention; this model assumes Yield Health's management shifts a managed hospital to roughly a 50/50 payer/saver split with a modest average per-episode gain among savers. Treat as a conservative planning input, not a guarantee.</t>
        </is>
      </c>
    </row>
    <row r="30" ht="18" customHeight="1">
      <c r="A30" s="4" t="inlineStr">
        <is>
          <t>4. TIER 1 — YIELD HEALTH ADVISORY (fixed-fee consulting)</t>
        </is>
      </c>
    </row>
    <row r="31">
      <c r="A31" s="5" t="inlineStr"/>
      <c r="B31" s="6" t="inlineStr">
        <is>
          <t>Small</t>
        </is>
      </c>
      <c r="C31" s="6" t="inlineStr">
        <is>
          <t>Medium</t>
        </is>
      </c>
      <c r="D31" s="6" t="inlineStr">
        <is>
          <t>Large</t>
        </is>
      </c>
    </row>
    <row r="32">
      <c r="A32" s="7" t="inlineStr">
        <is>
          <t>Position Report (diagnostic only, one-time)</t>
        </is>
      </c>
      <c r="B32" s="8" t="n">
        <v>18000</v>
      </c>
      <c r="C32" s="8" t="n">
        <v>24000</v>
      </c>
      <c r="D32" s="8" t="n">
        <v>32000</v>
      </c>
    </row>
    <row r="33">
      <c r="A33" s="7" t="inlineStr">
        <is>
          <t>Full Advisory Engagement, incl. Position Report (one-time fee)</t>
        </is>
      </c>
      <c r="B33" s="8" t="n">
        <v>65000</v>
      </c>
      <c r="C33" s="8" t="n">
        <v>95000</v>
      </c>
      <c r="D33" s="8" t="n">
        <v>135000</v>
      </c>
    </row>
    <row r="34">
      <c r="A34" s="7" t="inlineStr">
        <is>
          <t>Delivery gross margin (advisory labor)</t>
        </is>
      </c>
      <c r="B34" s="9" t="n">
        <v>0.75</v>
      </c>
    </row>
    <row r="35">
      <c r="A35" s="13" t="inlineStr">
        <is>
          <t>Fixed-fee, project-based. No technology license, no ongoing staffing, no shared savings. 90-120 day engagement per the go-to-market deck (diagnose, prioritize, design governance/incentives).</t>
        </is>
      </c>
    </row>
    <row r="37" ht="18" customHeight="1">
      <c r="A37" s="4" t="inlineStr">
        <is>
          <t>5. TIER 2 — YIELD HEALTH PLATFORM (remote navigators + technology)</t>
        </is>
      </c>
    </row>
    <row r="38">
      <c r="A38" s="5" t="inlineStr"/>
      <c r="B38" s="6" t="inlineStr">
        <is>
          <t>Small</t>
        </is>
      </c>
      <c r="C38" s="6" t="inlineStr">
        <is>
          <t>Medium</t>
        </is>
      </c>
      <c r="D38" s="6" t="inlineStr">
        <is>
          <t>Large</t>
        </is>
      </c>
    </row>
    <row r="39">
      <c r="A39" s="7" t="inlineStr">
        <is>
          <t>Onboarding / implementation fee (one-time)</t>
        </is>
      </c>
      <c r="B39" s="8" t="n">
        <v>20000</v>
      </c>
      <c r="C39" s="8" t="n">
        <v>32000</v>
      </c>
      <c r="D39" s="8" t="n">
        <v>48000</v>
      </c>
    </row>
    <row r="40">
      <c r="A40" s="7" t="inlineStr">
        <is>
          <t>Per-episode case management fee — standard complexity ($/episode)</t>
        </is>
      </c>
      <c r="B40" s="8" t="n">
        <v>950</v>
      </c>
    </row>
    <row r="41">
      <c r="A41" s="7" t="inlineStr">
        <is>
          <t>Per-episode case management fee — high complexity ($/episode)</t>
        </is>
      </c>
      <c r="B41" s="8" t="n">
        <v>1650</v>
      </c>
    </row>
    <row r="42">
      <c r="A42" s="7" t="inlineStr">
        <is>
          <t>Shared savings take rate — Standard option (upside only)</t>
        </is>
      </c>
      <c r="B42" s="9" t="n">
        <v>0.25</v>
      </c>
    </row>
    <row r="43">
      <c r="A43" s="7" t="inlineStr">
        <is>
          <t>Shared savings take rate — Aligned option (Yield Health shares downside)</t>
        </is>
      </c>
      <c r="B43" s="9" t="n">
        <v>0.38</v>
      </c>
    </row>
    <row r="44">
      <c r="A44" s="7" t="inlineStr">
        <is>
          <t>Downside share Yield Health absorbs under Aligned option</t>
        </is>
      </c>
      <c r="B44" s="9" t="n">
        <v>0.2</v>
      </c>
    </row>
    <row r="45">
      <c r="A45" s="7" t="inlineStr">
        <is>
          <t>Remote Navigator FTE — fully loaded cost/year ($)</t>
        </is>
      </c>
      <c r="B45" s="8" t="n">
        <v>95000</v>
      </c>
    </row>
    <row r="46">
      <c r="A46" s="7" t="inlineStr">
        <is>
          <t>Episodes managed per remote Navigator FTE</t>
        </is>
      </c>
      <c r="B46" s="15" t="n">
        <v>200</v>
      </c>
    </row>
    <row r="47">
      <c r="A47" s="7" t="inlineStr">
        <is>
          <t>Platform technology cost allocated per hospital/year ($)</t>
        </is>
      </c>
      <c r="B47" s="8" t="n">
        <v>15000</v>
      </c>
    </row>
    <row r="48">
      <c r="A48" s="7" t="inlineStr">
        <is>
          <t>Onboarding delivery cost, as % of onboarding fee</t>
        </is>
      </c>
      <c r="B48" s="9" t="n">
        <v>0.6</v>
      </c>
    </row>
    <row r="49">
      <c r="A49" s="13" t="inlineStr">
        <is>
          <t>'Standard' take rate applies when Yield Health bears no downside (mirrors TEAM Track 1). 'Aligned' take rate applies when Yield Health contractually absorbs a share of a hospital's negative reconciliation (fits hospitals on Track 2/3) -- higher take rate compensates for that risk.</t>
        </is>
      </c>
    </row>
    <row r="51" ht="18" customHeight="1">
      <c r="A51" s="4" t="inlineStr">
        <is>
          <t>6. TIER 3 — YIELD HEALTH EMBEDDED (on-site staff + CM billing)</t>
        </is>
      </c>
    </row>
    <row r="52">
      <c r="A52" s="5" t="inlineStr"/>
      <c r="B52" s="6" t="inlineStr">
        <is>
          <t>Small</t>
        </is>
      </c>
      <c r="C52" s="6" t="inlineStr">
        <is>
          <t>Medium</t>
        </is>
      </c>
      <c r="D52" s="6" t="inlineStr">
        <is>
          <t>Large</t>
        </is>
      </c>
    </row>
    <row r="53">
      <c r="A53" s="7" t="inlineStr">
        <is>
          <t>Embedded setup / placement fee (one-time)</t>
        </is>
      </c>
      <c r="B53" s="8" t="n">
        <v>15000</v>
      </c>
      <c r="C53" s="8" t="n">
        <v>25000</v>
      </c>
      <c r="D53" s="8" t="n">
        <v>35000</v>
      </c>
    </row>
    <row r="54">
      <c r="A54" s="7" t="inlineStr">
        <is>
          <t>Embedded RN Care Manager — fully loaded cost/year ($)</t>
        </is>
      </c>
      <c r="B54" s="8" t="n">
        <v>135000</v>
      </c>
    </row>
    <row r="55">
      <c r="A55" s="7" t="inlineStr">
        <is>
          <t>Management fee markup billed to hospital on embedded FTE cost</t>
        </is>
      </c>
      <c r="B55" s="9" t="n">
        <v>0.18</v>
      </c>
    </row>
    <row r="56">
      <c r="A56" s="7" t="inlineStr">
        <is>
          <t>Episodes managed per embedded FTE</t>
        </is>
      </c>
      <c r="B56" s="15" t="n">
        <v>150</v>
      </c>
    </row>
    <row r="57">
      <c r="A57" s="7" t="inlineStr">
        <is>
          <t>TCM billing capture rate (% of episodes, CPT 99495/99496)</t>
        </is>
      </c>
      <c r="B57" s="9" t="n">
        <v>0.4</v>
      </c>
    </row>
    <row r="58">
      <c r="A58" s="7" t="inlineStr">
        <is>
          <t>Blended TCM rate per qualifying encounter ($)</t>
        </is>
      </c>
      <c r="B58" s="8" t="n">
        <v>250</v>
      </c>
    </row>
    <row r="59">
      <c r="A59" s="7" t="inlineStr">
        <is>
          <t>PIN capture rate — patients continuing navigation past day 30 (HCPCS G0023/G0024)</t>
        </is>
      </c>
      <c r="B59" s="9" t="n">
        <v>0.15</v>
      </c>
    </row>
    <row r="60">
      <c r="A60" s="7" t="inlineStr">
        <is>
          <t>Avg PIN months per captured patient</t>
        </is>
      </c>
      <c r="B60" s="15" t="n">
        <v>2</v>
      </c>
    </row>
    <row r="61">
      <c r="A61" s="7" t="inlineStr">
        <is>
          <t>Blended PIN monthly rate ($)</t>
        </is>
      </c>
      <c r="B61" s="8" t="n">
        <v>90</v>
      </c>
    </row>
    <row r="62">
      <c r="A62" s="7" t="inlineStr">
        <is>
          <t>Yield Health's contracted share of collected CM billing revenue</t>
        </is>
      </c>
      <c r="B62" s="9" t="n">
        <v>0.6</v>
      </c>
    </row>
    <row r="63">
      <c r="A63" s="7" t="inlineStr">
        <is>
          <t>CM billing compliance/admin cost, as % of gross billing</t>
        </is>
      </c>
      <c r="B63" s="9" t="n">
        <v>0.1</v>
      </c>
    </row>
    <row r="64">
      <c r="A64" s="7" t="inlineStr">
        <is>
          <t>Shared savings take rate — Embedded tier</t>
        </is>
      </c>
      <c r="B64" s="9" t="n">
        <v>0.15</v>
      </c>
    </row>
    <row r="65">
      <c r="A65" s="13" t="inlineStr">
        <is>
          <t>2026 Medicare national avg rates: CPT 99495 $220 / 99496 $298.60 (TCM); HCPCS G0023 $87.17 / G0024 $54.44 per month (Principal Illness Navigation); CPT 99490 $66.13/month (Chronic Care Management) -- used to derive the blended TCM/PIN rates above. CM billing requires a Medicare-enrolled billing entity (hospital, affiliated physician group, or Yield Health's own NPI under supervision) -- structure and revenue share are subject to compliance review; treat as a planning assumption.</t>
        </is>
      </c>
    </row>
    <row r="67" ht="18" customHeight="1">
      <c r="A67" s="4" t="inlineStr">
        <is>
          <t>7. CUSTOMER ACQUISITION &amp; RETENTION (3-year plan)</t>
        </is>
      </c>
    </row>
    <row r="68">
      <c r="A68" s="5" t="inlineStr"/>
      <c r="B68" s="6" t="inlineStr">
        <is>
          <t>Year 1</t>
        </is>
      </c>
      <c r="C68" s="6" t="inlineStr">
        <is>
          <t>Year 2</t>
        </is>
      </c>
      <c r="D68" s="6" t="inlineStr">
        <is>
          <t>Year 3</t>
        </is>
      </c>
    </row>
    <row r="69">
      <c r="A69" s="7" t="inlineStr">
        <is>
          <t>New Advisory engagements (one-time each)</t>
        </is>
      </c>
      <c r="B69" s="15" t="n">
        <v>8</v>
      </c>
      <c r="C69" s="15" t="n">
        <v>10</v>
      </c>
      <c r="D69" s="15" t="n">
        <v>12</v>
      </c>
    </row>
    <row r="70">
      <c r="A70" s="7" t="inlineStr">
        <is>
          <t>New Platform customers (gross adds)</t>
        </is>
      </c>
      <c r="B70" s="15" t="n">
        <v>5</v>
      </c>
      <c r="C70" s="15" t="n">
        <v>15</v>
      </c>
      <c r="D70" s="15" t="n">
        <v>25</v>
      </c>
    </row>
    <row r="71">
      <c r="A71" s="7" t="inlineStr">
        <is>
          <t>New Embedded customers (gross adds)</t>
        </is>
      </c>
      <c r="B71" s="15" t="n">
        <v>2</v>
      </c>
      <c r="C71" s="15" t="n">
        <v>5</v>
      </c>
      <c r="D71" s="15" t="n">
        <v>10</v>
      </c>
    </row>
    <row r="72">
      <c r="A72" s="7" t="inlineStr">
        <is>
          <t>Annual customer retention — Platform</t>
        </is>
      </c>
      <c r="B72" s="9" t="n">
        <v>0.9</v>
      </c>
    </row>
    <row r="73">
      <c r="A73" s="7" t="inlineStr">
        <is>
          <t>Annual customer retention — Embedded</t>
        </is>
      </c>
      <c r="B73" s="9" t="n">
        <v>0.9</v>
      </c>
    </row>
    <row r="74">
      <c r="A74" s="13" t="inlineStr">
        <is>
          <t>741 mandated hospitals is the full addressable base; this ramp reaches roughly 100 active recurring-revenue relationships by end of Year 3 -- under 15% penetration, deliberately conservative for a new entrant's first three years.</t>
        </is>
      </c>
    </row>
  </sheetData>
  <mergeCells count="15">
    <mergeCell ref="A1:D1"/>
    <mergeCell ref="A17:D17"/>
    <mergeCell ref="A23:D23"/>
    <mergeCell ref="A37:D37"/>
    <mergeCell ref="A67:D67"/>
    <mergeCell ref="A74:D74"/>
    <mergeCell ref="A35:D35"/>
    <mergeCell ref="A3:D3"/>
    <mergeCell ref="A30:D30"/>
    <mergeCell ref="A25:D25"/>
    <mergeCell ref="A65:D65"/>
    <mergeCell ref="A51:D51"/>
    <mergeCell ref="A11:D11"/>
    <mergeCell ref="A28:D28"/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</cols>
  <sheetData>
    <row r="1" ht="22" customHeight="1">
      <c r="A1" s="1" t="inlineStr">
        <is>
          <t>UNIT ECONOMICS — PER HOSPITAL, BY TIER AND SIZE</t>
        </is>
      </c>
    </row>
    <row r="3" ht="18" customHeight="1">
      <c r="A3" s="4" t="inlineStr">
        <is>
          <t>HELPER CONSTANTS (derived from Assumptions)</t>
        </is>
      </c>
    </row>
    <row r="4">
      <c r="A4" s="7" t="inlineStr">
        <is>
          <t>Blended per-episode fee, Tier 2 ($/episode)</t>
        </is>
      </c>
      <c r="B4" s="16">
        <f>Assumptions!$B$13*Assumptions!$B$40+Assumptions!$B$14*Assumptions!$B$41</f>
        <v/>
      </c>
    </row>
    <row r="5">
      <c r="A5" s="7" t="inlineStr">
        <is>
          <t>Shared savings revenue per episode, Tier 2 Standard ($)</t>
        </is>
      </c>
      <c r="B5" s="16">
        <f>Assumptions!$B$26*Assumptions!$B$27*Assumptions!$B$42</f>
        <v/>
      </c>
    </row>
    <row r="6">
      <c r="A6" s="7" t="inlineStr">
        <is>
          <t>Shared savings revenue per episode, Tier 2 Aligned ($)</t>
        </is>
      </c>
      <c r="B6" s="16">
        <f>Assumptions!$B$26*Assumptions!$B$27*Assumptions!$B$43</f>
        <v/>
      </c>
    </row>
    <row r="7">
      <c r="A7" s="7" t="inlineStr">
        <is>
          <t>CM billing revenue per episode, gross, Tier 3 ($)</t>
        </is>
      </c>
      <c r="B7" s="16">
        <f>Assumptions!$B$57*Assumptions!$B$58+Assumptions!$B$59*Assumptions!$B$60*Assumptions!$B$61</f>
        <v/>
      </c>
    </row>
    <row r="8">
      <c r="A8" s="7" t="inlineStr">
        <is>
          <t>CM billing revenue per episode, net to Yield Health, Tier 3 ($)</t>
        </is>
      </c>
      <c r="B8" s="16">
        <f>B7*Assumptions!$B$62</f>
        <v/>
      </c>
    </row>
    <row r="9">
      <c r="A9" s="7" t="inlineStr">
        <is>
          <t>Shared savings revenue per episode, Tier 3 ($)</t>
        </is>
      </c>
      <c r="B9" s="16">
        <f>Assumptions!$B$26*Assumptions!$B$27*Assumptions!$B$64</f>
        <v/>
      </c>
    </row>
    <row r="12" ht="18" customHeight="1">
      <c r="A12" s="4" t="inlineStr">
        <is>
          <t>TIER 1 — YIELD HEALTH ADVISORY</t>
        </is>
      </c>
    </row>
    <row r="13">
      <c r="A13" s="5" t="inlineStr"/>
      <c r="B13" s="6" t="inlineStr">
        <is>
          <t>Small</t>
        </is>
      </c>
      <c r="C13" s="6" t="inlineStr">
        <is>
          <t>Medium</t>
        </is>
      </c>
      <c r="D13" s="6" t="inlineStr">
        <is>
          <t>Large</t>
        </is>
      </c>
      <c r="E13" s="6" t="inlineStr">
        <is>
          <t>Blended</t>
        </is>
      </c>
    </row>
    <row r="14">
      <c r="A14" s="7" t="inlineStr">
        <is>
          <t>Revenue (one-time engagement fee)</t>
        </is>
      </c>
      <c r="B14" s="17">
        <f>Assumptions!B33</f>
        <v/>
      </c>
      <c r="C14" s="17">
        <f>Assumptions!C33</f>
        <v/>
      </c>
      <c r="D14" s="17">
        <f>Assumptions!D33</f>
        <v/>
      </c>
      <c r="E14" s="11">
        <f>B14*Assumptions!$C$19+C14*Assumptions!$C$20+D14*Assumptions!$C$21</f>
        <v/>
      </c>
    </row>
    <row r="15">
      <c r="A15" s="7" t="inlineStr">
        <is>
          <t>Delivery cost</t>
        </is>
      </c>
      <c r="B15" s="17">
        <f>B14*(1-Assumptions!$B$34)</f>
        <v/>
      </c>
      <c r="C15" s="17">
        <f>C14*(1-Assumptions!$B$34)</f>
        <v/>
      </c>
      <c r="D15" s="17">
        <f>D14*(1-Assumptions!$B$34)</f>
        <v/>
      </c>
      <c r="E15" s="11">
        <f>B15*Assumptions!$C$19+C15*Assumptions!$C$20+D15*Assumptions!$C$21</f>
        <v/>
      </c>
    </row>
    <row r="16">
      <c r="A16" s="10" t="inlineStr">
        <is>
          <t>Gross profit</t>
        </is>
      </c>
      <c r="B16" s="11">
        <f>B14-B15</f>
        <v/>
      </c>
      <c r="C16" s="11">
        <f>C14-C15</f>
        <v/>
      </c>
      <c r="D16" s="11">
        <f>D14-D15</f>
        <v/>
      </c>
      <c r="E16" s="11">
        <f>B16*Assumptions!$C$19+C16*Assumptions!$C$20+D16*Assumptions!$C$21</f>
        <v/>
      </c>
    </row>
    <row r="17">
      <c r="A17" s="7" t="inlineStr">
        <is>
          <t>Gross margin %</t>
        </is>
      </c>
      <c r="B17" s="18">
        <f>B16/B14</f>
        <v/>
      </c>
      <c r="C17" s="18">
        <f>C16/C14</f>
        <v/>
      </c>
      <c r="D17" s="18">
        <f>D16/D14</f>
        <v/>
      </c>
      <c r="E17" s="12">
        <f>B17*Assumptions!$C$19+C17*Assumptions!$C$20+D17*Assumptions!$C$21</f>
        <v/>
      </c>
    </row>
    <row r="19" ht="18" customHeight="1">
      <c r="A19" s="4" t="inlineStr">
        <is>
          <t>TIER 2 — YIELD HEALTH PLATFORM</t>
        </is>
      </c>
    </row>
    <row r="20">
      <c r="A20" s="5" t="inlineStr"/>
      <c r="B20" s="6" t="inlineStr">
        <is>
          <t>Small</t>
        </is>
      </c>
      <c r="C20" s="6" t="inlineStr">
        <is>
          <t>Medium</t>
        </is>
      </c>
      <c r="D20" s="6" t="inlineStr">
        <is>
          <t>Large</t>
        </is>
      </c>
      <c r="E20" s="6" t="inlineStr">
        <is>
          <t>Blended</t>
        </is>
      </c>
    </row>
    <row r="21">
      <c r="A21" s="7" t="inlineStr">
        <is>
          <t>Annual episode volume</t>
        </is>
      </c>
      <c r="B21" s="19">
        <f>Assumptions!B19</f>
        <v/>
      </c>
      <c r="C21" s="19">
        <f>Assumptions!B20</f>
        <v/>
      </c>
      <c r="D21" s="19">
        <f>Assumptions!B21</f>
        <v/>
      </c>
      <c r="E21" s="20">
        <f>B21*Assumptions!$C$19+C21*Assumptions!$C$20+D21*Assumptions!$C$21</f>
        <v/>
      </c>
    </row>
    <row r="22">
      <c r="A22" s="7" t="inlineStr">
        <is>
          <t>Onboarding fee (one-time)</t>
        </is>
      </c>
      <c r="B22" s="17">
        <f>Assumptions!B39</f>
        <v/>
      </c>
      <c r="C22" s="17">
        <f>Assumptions!C39</f>
        <v/>
      </c>
      <c r="D22" s="17">
        <f>Assumptions!D39</f>
        <v/>
      </c>
      <c r="E22" s="11">
        <f>B22*Assumptions!$C$19+C22*Assumptions!$C$20+D22*Assumptions!$C$21</f>
        <v/>
      </c>
    </row>
    <row r="23">
      <c r="A23" s="7" t="inlineStr">
        <is>
          <t>Annual per-episode case management fee revenue</t>
        </is>
      </c>
      <c r="B23" s="17">
        <f>B21*$B$4</f>
        <v/>
      </c>
      <c r="C23" s="17">
        <f>C21*$B$4</f>
        <v/>
      </c>
      <c r="D23" s="17">
        <f>D21*$B$4</f>
        <v/>
      </c>
      <c r="E23" s="11">
        <f>B23*Assumptions!$C$19+C23*Assumptions!$C$20+D23*Assumptions!$C$21</f>
        <v/>
      </c>
    </row>
    <row r="24">
      <c r="A24" s="7" t="inlineStr">
        <is>
          <t>Annual shared savings revenue — Standard option</t>
        </is>
      </c>
      <c r="B24" s="17">
        <f>B21*$B$5</f>
        <v/>
      </c>
      <c r="C24" s="17">
        <f>C21*$B$5</f>
        <v/>
      </c>
      <c r="D24" s="17">
        <f>D21*$B$5</f>
        <v/>
      </c>
      <c r="E24" s="11">
        <f>B24*Assumptions!$C$19+C24*Assumptions!$C$20+D24*Assumptions!$C$21</f>
        <v/>
      </c>
    </row>
    <row r="25">
      <c r="A25" s="7" t="inlineStr">
        <is>
          <t>Annual shared savings revenue — Aligned option</t>
        </is>
      </c>
      <c r="B25" s="17">
        <f>B21*$B$6</f>
        <v/>
      </c>
      <c r="C25" s="17">
        <f>C21*$B$6</f>
        <v/>
      </c>
      <c r="D25" s="17">
        <f>D21*$B$6</f>
        <v/>
      </c>
      <c r="E25" s="11">
        <f>B25*Assumptions!$C$19+C25*Assumptions!$C$20+D25*Assumptions!$C$21</f>
        <v/>
      </c>
    </row>
    <row r="26">
      <c r="A26" s="10" t="inlineStr">
        <is>
          <t>Annual recurring revenue (Standard option)</t>
        </is>
      </c>
      <c r="B26" s="11">
        <f>B23+B24</f>
        <v/>
      </c>
      <c r="C26" s="11">
        <f>C23+C24</f>
        <v/>
      </c>
      <c r="D26" s="11">
        <f>D23+D24</f>
        <v/>
      </c>
      <c r="E26" s="11">
        <f>B26*Assumptions!$C$19+C26*Assumptions!$C$20+D26*Assumptions!$C$21</f>
        <v/>
      </c>
    </row>
    <row r="27">
      <c r="A27" s="10" t="inlineStr">
        <is>
          <t>Year-1 total revenue (incl. onboarding)</t>
        </is>
      </c>
      <c r="B27" s="11">
        <f>B22+B26</f>
        <v/>
      </c>
      <c r="C27" s="11">
        <f>C22+C26</f>
        <v/>
      </c>
      <c r="D27" s="11">
        <f>D22+D26</f>
        <v/>
      </c>
      <c r="E27" s="11">
        <f>B27*Assumptions!$C$19+C27*Assumptions!$C$20+D27*Assumptions!$C$21</f>
        <v/>
      </c>
    </row>
    <row r="28">
      <c r="A28" s="7" t="inlineStr">
        <is>
          <t>Remote Navigator FTEs required</t>
        </is>
      </c>
      <c r="B28" s="21">
        <f>B21/Assumptions!$B$46</f>
        <v/>
      </c>
      <c r="C28" s="21">
        <f>C21/Assumptions!$B$46</f>
        <v/>
      </c>
      <c r="D28" s="21">
        <f>D21/Assumptions!$B$46</f>
        <v/>
      </c>
      <c r="E28" s="22">
        <f>B28*Assumptions!$C$19+C28*Assumptions!$C$20+D28*Assumptions!$C$21</f>
        <v/>
      </c>
    </row>
    <row r="29">
      <c r="A29" s="7" t="inlineStr">
        <is>
          <t>Navigator staffing cost</t>
        </is>
      </c>
      <c r="B29" s="17">
        <f>B28*Assumptions!$B$45</f>
        <v/>
      </c>
      <c r="C29" s="17">
        <f>C28*Assumptions!$B$45</f>
        <v/>
      </c>
      <c r="D29" s="17">
        <f>D28*Assumptions!$B$45</f>
        <v/>
      </c>
      <c r="E29" s="11">
        <f>B29*Assumptions!$C$19+C29*Assumptions!$C$20+D29*Assumptions!$C$21</f>
        <v/>
      </c>
    </row>
    <row r="30">
      <c r="A30" s="7" t="inlineStr">
        <is>
          <t>Platform technology cost</t>
        </is>
      </c>
      <c r="B30" s="17">
        <f>Assumptions!$B$47</f>
        <v/>
      </c>
      <c r="C30" s="17">
        <f>Assumptions!$B$47</f>
        <v/>
      </c>
      <c r="D30" s="17">
        <f>Assumptions!$B$47</f>
        <v/>
      </c>
      <c r="E30" s="11">
        <f>B30*Assumptions!$C$19+C30*Assumptions!$C$20+D30*Assumptions!$C$21</f>
        <v/>
      </c>
    </row>
    <row r="31">
      <c r="A31" s="7" t="inlineStr">
        <is>
          <t>Onboarding delivery cost</t>
        </is>
      </c>
      <c r="B31" s="17">
        <f>B22*Assumptions!$B$48</f>
        <v/>
      </c>
      <c r="C31" s="17">
        <f>C22*Assumptions!$B$48</f>
        <v/>
      </c>
      <c r="D31" s="17">
        <f>D22*Assumptions!$B$48</f>
        <v/>
      </c>
      <c r="E31" s="11">
        <f>B31*Assumptions!$C$19+C31*Assumptions!$C$20+D31*Assumptions!$C$21</f>
        <v/>
      </c>
    </row>
    <row r="32">
      <c r="A32" s="7" t="inlineStr">
        <is>
          <t>Year-1 total cost</t>
        </is>
      </c>
      <c r="B32" s="17">
        <f>B29+B30+B31</f>
        <v/>
      </c>
      <c r="C32" s="17">
        <f>C29+C30+C31</f>
        <v/>
      </c>
      <c r="D32" s="17">
        <f>D29+D30+D31</f>
        <v/>
      </c>
      <c r="E32" s="11">
        <f>B32*Assumptions!$C$19+C32*Assumptions!$C$20+D32*Assumptions!$C$21</f>
        <v/>
      </c>
    </row>
    <row r="33">
      <c r="A33" s="7" t="inlineStr">
        <is>
          <t>Recurring annual cost (Year 2+)</t>
        </is>
      </c>
      <c r="B33" s="17">
        <f>B29+B30</f>
        <v/>
      </c>
      <c r="C33" s="17">
        <f>C29+C30</f>
        <v/>
      </c>
      <c r="D33" s="17">
        <f>D29+D30</f>
        <v/>
      </c>
      <c r="E33" s="11">
        <f>B33*Assumptions!$C$19+C33*Assumptions!$C$20+D33*Assumptions!$C$21</f>
        <v/>
      </c>
    </row>
    <row r="34">
      <c r="A34" s="10" t="inlineStr">
        <is>
          <t>Year-1 gross profit</t>
        </is>
      </c>
      <c r="B34" s="11">
        <f>B27-B32</f>
        <v/>
      </c>
      <c r="C34" s="11">
        <f>C27-C32</f>
        <v/>
      </c>
      <c r="D34" s="11">
        <f>D27-D32</f>
        <v/>
      </c>
      <c r="E34" s="11">
        <f>B34*Assumptions!$C$19+C34*Assumptions!$C$20+D34*Assumptions!$C$21</f>
        <v/>
      </c>
    </row>
    <row r="35">
      <c r="A35" s="10" t="inlineStr">
        <is>
          <t>Recurring gross profit (Year 2+)</t>
        </is>
      </c>
      <c r="B35" s="11">
        <f>B26-B33</f>
        <v/>
      </c>
      <c r="C35" s="11">
        <f>C26-C33</f>
        <v/>
      </c>
      <c r="D35" s="11">
        <f>D26-D33</f>
        <v/>
      </c>
      <c r="E35" s="11">
        <f>B35*Assumptions!$C$19+C35*Assumptions!$C$20+D35*Assumptions!$C$21</f>
        <v/>
      </c>
    </row>
    <row r="36">
      <c r="A36" s="7" t="inlineStr">
        <is>
          <t>Recurring gross margin % (Year 2+)</t>
        </is>
      </c>
      <c r="B36" s="18">
        <f>B35/B26</f>
        <v/>
      </c>
      <c r="C36" s="18">
        <f>C35/C26</f>
        <v/>
      </c>
      <c r="D36" s="18">
        <f>D35/D26</f>
        <v/>
      </c>
      <c r="E36" s="12">
        <f>B36*Assumptions!$C$19+C36*Assumptions!$C$20+D36*Assumptions!$C$21</f>
        <v/>
      </c>
    </row>
    <row r="38" ht="18" customHeight="1">
      <c r="A38" s="4" t="inlineStr">
        <is>
          <t>TIER 3 — YIELD HEALTH EMBEDDED</t>
        </is>
      </c>
    </row>
    <row r="39">
      <c r="A39" s="5" t="inlineStr"/>
      <c r="B39" s="6" t="inlineStr">
        <is>
          <t>Small</t>
        </is>
      </c>
      <c r="C39" s="6" t="inlineStr">
        <is>
          <t>Medium</t>
        </is>
      </c>
      <c r="D39" s="6" t="inlineStr">
        <is>
          <t>Large</t>
        </is>
      </c>
      <c r="E39" s="6" t="inlineStr">
        <is>
          <t>Blended</t>
        </is>
      </c>
    </row>
    <row r="40">
      <c r="A40" s="7" t="inlineStr">
        <is>
          <t>Annual episode volume</t>
        </is>
      </c>
      <c r="B40" s="19">
        <f>Assumptions!B19</f>
        <v/>
      </c>
      <c r="C40" s="19">
        <f>Assumptions!B20</f>
        <v/>
      </c>
      <c r="D40" s="19">
        <f>Assumptions!B21</f>
        <v/>
      </c>
      <c r="E40" s="20">
        <f>B40*Assumptions!$C$19+C40*Assumptions!$C$20+D40*Assumptions!$C$21</f>
        <v/>
      </c>
    </row>
    <row r="41">
      <c r="A41" s="7" t="inlineStr">
        <is>
          <t>Setup / placement fee (one-time)</t>
        </is>
      </c>
      <c r="B41" s="17">
        <f>Assumptions!B53</f>
        <v/>
      </c>
      <c r="C41" s="17">
        <f>Assumptions!C53</f>
        <v/>
      </c>
      <c r="D41" s="17">
        <f>Assumptions!D53</f>
        <v/>
      </c>
      <c r="E41" s="11">
        <f>B41*Assumptions!$C$19+C41*Assumptions!$C$20+D41*Assumptions!$C$21</f>
        <v/>
      </c>
    </row>
    <row r="42">
      <c r="A42" s="7" t="inlineStr">
        <is>
          <t>Embedded FTEs required</t>
        </is>
      </c>
      <c r="B42" s="21">
        <f>B40/Assumptions!$B$56</f>
        <v/>
      </c>
      <c r="C42" s="21">
        <f>C40/Assumptions!$B$56</f>
        <v/>
      </c>
      <c r="D42" s="21">
        <f>D40/Assumptions!$B$56</f>
        <v/>
      </c>
      <c r="E42" s="22">
        <f>B42*Assumptions!$C$19+C42*Assumptions!$C$20+D42*Assumptions!$C$21</f>
        <v/>
      </c>
    </row>
    <row r="43">
      <c r="A43" s="7" t="inlineStr">
        <is>
          <t>Annual embedded-staff fee revenue (cost + management markup)</t>
        </is>
      </c>
      <c r="B43" s="17">
        <f>B42*Assumptions!$B$54*(1+Assumptions!$B$55)</f>
        <v/>
      </c>
      <c r="C43" s="17">
        <f>C42*Assumptions!$B$54*(1+Assumptions!$B$55)</f>
        <v/>
      </c>
      <c r="D43" s="17">
        <f>D42*Assumptions!$B$54*(1+Assumptions!$B$55)</f>
        <v/>
      </c>
      <c r="E43" s="11">
        <f>B43*Assumptions!$C$19+C43*Assumptions!$C$20+D43*Assumptions!$C$21</f>
        <v/>
      </c>
    </row>
    <row r="44">
      <c r="A44" s="7" t="inlineStr">
        <is>
          <t>Annual CM billing revenue, net to Yield Health</t>
        </is>
      </c>
      <c r="B44" s="17">
        <f>B40*$B$8</f>
        <v/>
      </c>
      <c r="C44" s="17">
        <f>C40*$B$8</f>
        <v/>
      </c>
      <c r="D44" s="17">
        <f>D40*$B$8</f>
        <v/>
      </c>
      <c r="E44" s="11">
        <f>B44*Assumptions!$C$19+C44*Assumptions!$C$20+D44*Assumptions!$C$21</f>
        <v/>
      </c>
    </row>
    <row r="45">
      <c r="A45" s="7" t="inlineStr">
        <is>
          <t>Annual shared savings revenue</t>
        </is>
      </c>
      <c r="B45" s="17">
        <f>B40*$B$9</f>
        <v/>
      </c>
      <c r="C45" s="17">
        <f>C40*$B$9</f>
        <v/>
      </c>
      <c r="D45" s="17">
        <f>D40*$B$9</f>
        <v/>
      </c>
      <c r="E45" s="11">
        <f>B45*Assumptions!$C$19+C45*Assumptions!$C$20+D45*Assumptions!$C$21</f>
        <v/>
      </c>
    </row>
    <row r="46">
      <c r="A46" s="10" t="inlineStr">
        <is>
          <t>Annual recurring revenue</t>
        </is>
      </c>
      <c r="B46" s="11">
        <f>B43+B44+B45</f>
        <v/>
      </c>
      <c r="C46" s="11">
        <f>C43+C44+C45</f>
        <v/>
      </c>
      <c r="D46" s="11">
        <f>D43+D44+D45</f>
        <v/>
      </c>
      <c r="E46" s="11">
        <f>B46*Assumptions!$C$19+C46*Assumptions!$C$20+D46*Assumptions!$C$21</f>
        <v/>
      </c>
    </row>
    <row r="47">
      <c r="A47" s="10" t="inlineStr">
        <is>
          <t>Year-1 total revenue (incl. setup fee)</t>
        </is>
      </c>
      <c r="B47" s="11">
        <f>B41+B46</f>
        <v/>
      </c>
      <c r="C47" s="11">
        <f>C41+C46</f>
        <v/>
      </c>
      <c r="D47" s="11">
        <f>D41+D46</f>
        <v/>
      </c>
      <c r="E47" s="11">
        <f>B47*Assumptions!$C$19+C47*Assumptions!$C$20+D47*Assumptions!$C$21</f>
        <v/>
      </c>
    </row>
    <row r="48">
      <c r="A48" s="7" t="inlineStr">
        <is>
          <t>Embedded staff cost (actual)</t>
        </is>
      </c>
      <c r="B48" s="17">
        <f>B42*Assumptions!$B$54</f>
        <v/>
      </c>
      <c r="C48" s="17">
        <f>C42*Assumptions!$B$54</f>
        <v/>
      </c>
      <c r="D48" s="17">
        <f>D42*Assumptions!$B$54</f>
        <v/>
      </c>
      <c r="E48" s="11">
        <f>B48*Assumptions!$C$19+C48*Assumptions!$C$20+D48*Assumptions!$C$21</f>
        <v/>
      </c>
    </row>
    <row r="49">
      <c r="A49" s="7" t="inlineStr">
        <is>
          <t>CM billing compliance / admin cost</t>
        </is>
      </c>
      <c r="B49" s="17">
        <f>B40*$B$7*Assumptions!$B$63</f>
        <v/>
      </c>
      <c r="C49" s="17">
        <f>C40*$B$7*Assumptions!$B$63</f>
        <v/>
      </c>
      <c r="D49" s="17">
        <f>D40*$B$7*Assumptions!$B$63</f>
        <v/>
      </c>
      <c r="E49" s="11">
        <f>B49*Assumptions!$C$19+C49*Assumptions!$C$20+D49*Assumptions!$C$21</f>
        <v/>
      </c>
    </row>
    <row r="50">
      <c r="A50" s="7" t="inlineStr">
        <is>
          <t>Setup delivery cost</t>
        </is>
      </c>
      <c r="B50" s="17">
        <f>B41*Assumptions!$B$48</f>
        <v/>
      </c>
      <c r="C50" s="17">
        <f>C41*Assumptions!$B$48</f>
        <v/>
      </c>
      <c r="D50" s="17">
        <f>D41*Assumptions!$B$48</f>
        <v/>
      </c>
      <c r="E50" s="11">
        <f>B50*Assumptions!$C$19+C50*Assumptions!$C$20+D50*Assumptions!$C$21</f>
        <v/>
      </c>
    </row>
    <row r="51">
      <c r="A51" s="7" t="inlineStr">
        <is>
          <t>Year-1 total cost</t>
        </is>
      </c>
      <c r="B51" s="17">
        <f>B48+B49+B50</f>
        <v/>
      </c>
      <c r="C51" s="17">
        <f>C48+C49+C50</f>
        <v/>
      </c>
      <c r="D51" s="17">
        <f>D48+D49+D50</f>
        <v/>
      </c>
      <c r="E51" s="11">
        <f>B51*Assumptions!$C$19+C51*Assumptions!$C$20+D51*Assumptions!$C$21</f>
        <v/>
      </c>
    </row>
    <row r="52">
      <c r="A52" s="7" t="inlineStr">
        <is>
          <t>Recurring annual cost (Year 2+)</t>
        </is>
      </c>
      <c r="B52" s="17">
        <f>B48+B49</f>
        <v/>
      </c>
      <c r="C52" s="17">
        <f>C48+C49</f>
        <v/>
      </c>
      <c r="D52" s="17">
        <f>D48+D49</f>
        <v/>
      </c>
      <c r="E52" s="11">
        <f>B52*Assumptions!$C$19+C52*Assumptions!$C$20+D52*Assumptions!$C$21</f>
        <v/>
      </c>
    </row>
    <row r="53">
      <c r="A53" s="10" t="inlineStr">
        <is>
          <t>Year-1 gross profit</t>
        </is>
      </c>
      <c r="B53" s="11">
        <f>B47-B51</f>
        <v/>
      </c>
      <c r="C53" s="11">
        <f>C47-C51</f>
        <v/>
      </c>
      <c r="D53" s="11">
        <f>D47-D51</f>
        <v/>
      </c>
      <c r="E53" s="11">
        <f>B53*Assumptions!$C$19+C53*Assumptions!$C$20+D53*Assumptions!$C$21</f>
        <v/>
      </c>
    </row>
    <row r="54">
      <c r="A54" s="10" t="inlineStr">
        <is>
          <t>Recurring gross profit (Year 2+)</t>
        </is>
      </c>
      <c r="B54" s="11">
        <f>B46-B52</f>
        <v/>
      </c>
      <c r="C54" s="11">
        <f>C46-C52</f>
        <v/>
      </c>
      <c r="D54" s="11">
        <f>D46-D52</f>
        <v/>
      </c>
      <c r="E54" s="11">
        <f>B54*Assumptions!$C$19+C54*Assumptions!$C$20+D54*Assumptions!$C$21</f>
        <v/>
      </c>
    </row>
    <row r="55">
      <c r="A55" s="7" t="inlineStr">
        <is>
          <t>Recurring gross margin % (Year 2+)</t>
        </is>
      </c>
      <c r="B55" s="18">
        <f>B54/B46</f>
        <v/>
      </c>
      <c r="C55" s="18">
        <f>C54/C46</f>
        <v/>
      </c>
      <c r="D55" s="18">
        <f>D54/D46</f>
        <v/>
      </c>
      <c r="E55" s="12">
        <f>B55*Assumptions!$C$19+C55*Assumptions!$C$20+D55*Assumptions!$C$21</f>
        <v/>
      </c>
    </row>
  </sheetData>
  <mergeCells count="5">
    <mergeCell ref="A12:E12"/>
    <mergeCell ref="A38:E38"/>
    <mergeCell ref="A19:E19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 outlineLevelCol="0"/>
  <cols>
    <col width="44" customWidth="1" min="1" max="1"/>
    <col width="16" customWidth="1" min="2" max="2"/>
    <col width="16" customWidth="1" min="3" max="3"/>
    <col width="16" customWidth="1" min="4" max="4"/>
    <col width="3" customWidth="1" min="5" max="5"/>
  </cols>
  <sheetData>
    <row r="1" ht="22" customHeight="1">
      <c r="A1" s="1" t="inlineStr">
        <is>
          <t>3-YEAR REVENUE BUILD</t>
        </is>
      </c>
    </row>
    <row r="2">
      <c r="A2" s="13" t="inlineStr">
        <is>
          <t>Uses the size-blended unit economics from the 'Unit Economics' tab and the customer acquisition plan from 'Assumptions' §7. Every cell below is a formula -- change the acquisition plan or any pricing assumption and this rebuilds automatically.</t>
        </is>
      </c>
    </row>
    <row r="4">
      <c r="A4" s="5" t="inlineStr"/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</row>
    <row r="5" ht="18" customHeight="1">
      <c r="A5" s="4" t="inlineStr">
        <is>
          <t>NEW CUSTOMERS SIGNED</t>
        </is>
      </c>
    </row>
    <row r="6">
      <c r="A6" s="7" t="inlineStr">
        <is>
          <t>New Advisory engagements</t>
        </is>
      </c>
      <c r="B6" s="19">
        <f>Assumptions!B69</f>
        <v/>
      </c>
      <c r="C6" s="19">
        <f>Assumptions!C69</f>
        <v/>
      </c>
      <c r="D6" s="19">
        <f>Assumptions!D69</f>
        <v/>
      </c>
    </row>
    <row r="7">
      <c r="A7" s="7" t="inlineStr">
        <is>
          <t>New Platform customers</t>
        </is>
      </c>
      <c r="B7" s="19">
        <f>Assumptions!B70</f>
        <v/>
      </c>
      <c r="C7" s="19">
        <f>Assumptions!C70</f>
        <v/>
      </c>
      <c r="D7" s="19">
        <f>Assumptions!D70</f>
        <v/>
      </c>
    </row>
    <row r="8">
      <c r="A8" s="7" t="inlineStr">
        <is>
          <t>New Embedded customers</t>
        </is>
      </c>
      <c r="B8" s="19">
        <f>Assumptions!B71</f>
        <v/>
      </c>
      <c r="C8" s="19">
        <f>Assumptions!C71</f>
        <v/>
      </c>
      <c r="D8" s="19">
        <f>Assumptions!D71</f>
        <v/>
      </c>
    </row>
    <row r="10" ht="18" customHeight="1">
      <c r="A10" s="4" t="inlineStr">
        <is>
          <t>CUMULATIVE ACTIVE CUSTOMERS (recurring tiers, after retention)</t>
        </is>
      </c>
    </row>
    <row r="11">
      <c r="A11" s="7" t="inlineStr">
        <is>
          <t>Cumulative active — Platform</t>
        </is>
      </c>
      <c r="B11" s="23">
        <f>B7</f>
        <v/>
      </c>
      <c r="C11" s="23">
        <f>B11*Assumptions!$B$72+C7</f>
        <v/>
      </c>
      <c r="D11" s="23">
        <f>C11*Assumptions!$B$72+D7</f>
        <v/>
      </c>
    </row>
    <row r="12">
      <c r="A12" s="7" t="inlineStr">
        <is>
          <t>Cumulative active — Embedded</t>
        </is>
      </c>
      <c r="B12" s="23">
        <f>B8</f>
        <v/>
      </c>
      <c r="C12" s="23">
        <f>B12*Assumptions!$B$73+C8</f>
        <v/>
      </c>
      <c r="D12" s="23">
        <f>C12*Assumptions!$B$73+D8</f>
        <v/>
      </c>
    </row>
    <row r="14" ht="18" customHeight="1">
      <c r="A14" s="4" t="inlineStr">
        <is>
          <t>HEADCOUNT REQUIRED (planning reference)</t>
        </is>
      </c>
    </row>
    <row r="15">
      <c r="A15" s="7" t="inlineStr">
        <is>
          <t>Remote Navigator FTEs (Platform)</t>
        </is>
      </c>
      <c r="B15" s="23">
        <f>B11*'Unit Economics'!$E$28</f>
        <v/>
      </c>
      <c r="C15" s="23">
        <f>C11*'Unit Economics'!$E$28</f>
        <v/>
      </c>
      <c r="D15" s="23">
        <f>D11*'Unit Economics'!$E$28</f>
        <v/>
      </c>
    </row>
    <row r="16">
      <c r="A16" s="7" t="inlineStr">
        <is>
          <t>Embedded RN Care Manager FTEs (Embedded)</t>
        </is>
      </c>
      <c r="B16" s="23">
        <f>B12*'Unit Economics'!$E$42</f>
        <v/>
      </c>
      <c r="C16" s="23">
        <f>C12*'Unit Economics'!$E$42</f>
        <v/>
      </c>
      <c r="D16" s="23">
        <f>D12*'Unit Economics'!$E$42</f>
        <v/>
      </c>
    </row>
    <row r="18" ht="18" customHeight="1">
      <c r="A18" s="4" t="inlineStr">
        <is>
          <t>REVENUE</t>
        </is>
      </c>
    </row>
    <row r="19">
      <c r="A19" s="7" t="inlineStr">
        <is>
          <t>Advisory revenue</t>
        </is>
      </c>
      <c r="B19" s="17">
        <f>B6*'Unit Economics'!$E$14</f>
        <v/>
      </c>
      <c r="C19" s="17">
        <f>C6*'Unit Economics'!$E$14</f>
        <v/>
      </c>
      <c r="D19" s="17">
        <f>D6*'Unit Economics'!$E$14</f>
        <v/>
      </c>
    </row>
    <row r="20">
      <c r="A20" s="7" t="inlineStr">
        <is>
          <t>Platform revenue (new-customer Year-1 + retained recurring)</t>
        </is>
      </c>
      <c r="B20" s="17">
        <f>B7*'Unit Economics'!$E$27+(B11-B7)*'Unit Economics'!$E$26</f>
        <v/>
      </c>
      <c r="C20" s="17">
        <f>C7*'Unit Economics'!$E$27+(C11-C7)*'Unit Economics'!$E$26</f>
        <v/>
      </c>
      <c r="D20" s="17">
        <f>D7*'Unit Economics'!$E$27+(D11-D7)*'Unit Economics'!$E$26</f>
        <v/>
      </c>
    </row>
    <row r="21">
      <c r="A21" s="7" t="inlineStr">
        <is>
          <t>Embedded revenue (new-customer Year-1 + retained recurring)</t>
        </is>
      </c>
      <c r="B21" s="17">
        <f>B8*'Unit Economics'!$E$47+(B12-B8)*'Unit Economics'!$E$46</f>
        <v/>
      </c>
      <c r="C21" s="17">
        <f>C8*'Unit Economics'!$E$47+(C12-C8)*'Unit Economics'!$E$46</f>
        <v/>
      </c>
      <c r="D21" s="17">
        <f>D8*'Unit Economics'!$E$47+(D12-D8)*'Unit Economics'!$E$46</f>
        <v/>
      </c>
    </row>
    <row r="22">
      <c r="A22" s="10" t="inlineStr">
        <is>
          <t>TOTAL REVENUE</t>
        </is>
      </c>
      <c r="B22" s="11">
        <f>SUM(B19:B21)</f>
        <v/>
      </c>
      <c r="C22" s="11">
        <f>SUM(C19:C21)</f>
        <v/>
      </c>
      <c r="D22" s="11">
        <f>SUM(D19:D21)</f>
        <v/>
      </c>
    </row>
    <row r="24" ht="18" customHeight="1">
      <c r="A24" s="4" t="inlineStr">
        <is>
          <t>COST</t>
        </is>
      </c>
    </row>
    <row r="25">
      <c r="A25" s="7" t="inlineStr">
        <is>
          <t>Advisory cost</t>
        </is>
      </c>
      <c r="B25" s="17">
        <f>B6*'Unit Economics'!$E$15</f>
        <v/>
      </c>
      <c r="C25" s="17">
        <f>C6*'Unit Economics'!$E$15</f>
        <v/>
      </c>
      <c r="D25" s="17">
        <f>D6*'Unit Economics'!$E$15</f>
        <v/>
      </c>
    </row>
    <row r="26">
      <c r="A26" s="7" t="inlineStr">
        <is>
          <t>Platform cost (new-customer Year-1 + retained recurring)</t>
        </is>
      </c>
      <c r="B26" s="17">
        <f>B7*'Unit Economics'!$E$32+(B11-B7)*'Unit Economics'!$E$33</f>
        <v/>
      </c>
      <c r="C26" s="17">
        <f>C7*'Unit Economics'!$E$32+(C11-C7)*'Unit Economics'!$E$33</f>
        <v/>
      </c>
      <c r="D26" s="17">
        <f>D7*'Unit Economics'!$E$32+(D11-D7)*'Unit Economics'!$E$33</f>
        <v/>
      </c>
    </row>
    <row r="27">
      <c r="A27" s="7" t="inlineStr">
        <is>
          <t>Embedded cost (new-customer Year-1 + retained recurring)</t>
        </is>
      </c>
      <c r="B27" s="17">
        <f>B8*'Unit Economics'!$E$51+(B12-B8)*'Unit Economics'!$E$52</f>
        <v/>
      </c>
      <c r="C27" s="17">
        <f>C8*'Unit Economics'!$E$51+(C12-C8)*'Unit Economics'!$E$52</f>
        <v/>
      </c>
      <c r="D27" s="17">
        <f>D8*'Unit Economics'!$E$51+(D12-D8)*'Unit Economics'!$E$52</f>
        <v/>
      </c>
    </row>
    <row r="28">
      <c r="A28" s="10" t="inlineStr">
        <is>
          <t>TOTAL COST</t>
        </is>
      </c>
      <c r="B28" s="11">
        <f>SUM(B25:B27)</f>
        <v/>
      </c>
      <c r="C28" s="11">
        <f>SUM(C25:C27)</f>
        <v/>
      </c>
      <c r="D28" s="11">
        <f>SUM(D25:D27)</f>
        <v/>
      </c>
    </row>
    <row r="30" ht="18" customHeight="1">
      <c r="A30" s="4" t="inlineStr">
        <is>
          <t>PROFITABILITY</t>
        </is>
      </c>
    </row>
    <row r="31">
      <c r="A31" s="10" t="inlineStr">
        <is>
          <t>Gross profit</t>
        </is>
      </c>
      <c r="B31" s="11">
        <f>B22-B28</f>
        <v/>
      </c>
      <c r="C31" s="11">
        <f>C22-C28</f>
        <v/>
      </c>
      <c r="D31" s="11">
        <f>D22-D28</f>
        <v/>
      </c>
    </row>
    <row r="32">
      <c r="A32" s="10" t="inlineStr">
        <is>
          <t>Gross margin %</t>
        </is>
      </c>
      <c r="B32" s="12">
        <f>B31/B22</f>
        <v/>
      </c>
      <c r="C32" s="12">
        <f>C31/C22</f>
        <v/>
      </c>
      <c r="D32" s="12">
        <f>D31/D22</f>
        <v/>
      </c>
    </row>
  </sheetData>
  <mergeCells count="8">
    <mergeCell ref="A1:D1"/>
    <mergeCell ref="A5:D5"/>
    <mergeCell ref="A18:D18"/>
    <mergeCell ref="A30:D30"/>
    <mergeCell ref="A24:D24"/>
    <mergeCell ref="A2:D2"/>
    <mergeCell ref="A10:D1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" customWidth="1" min="5" max="5"/>
  </cols>
  <sheetData>
    <row r="1" ht="22" customHeight="1">
      <c r="A1" s="1" t="inlineStr">
        <is>
          <t>YIELD HEALTH — 3-YEAR SUMMARY</t>
        </is>
      </c>
    </row>
    <row r="3" ht="18" customHeight="1">
      <c r="A3" s="4" t="inlineStr">
        <is>
          <t>REVENUE BY TIER ($)</t>
        </is>
      </c>
    </row>
    <row r="4">
      <c r="A4" s="5" t="inlineStr"/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</row>
    <row r="5">
      <c r="A5" s="7" t="inlineStr">
        <is>
          <t>Advisory</t>
        </is>
      </c>
      <c r="B5" s="17">
        <f>'3-Year Build'!B19</f>
        <v/>
      </c>
      <c r="C5" s="17">
        <f>'3-Year Build'!C19</f>
        <v/>
      </c>
      <c r="D5" s="17">
        <f>'3-Year Build'!D19</f>
        <v/>
      </c>
    </row>
    <row r="6">
      <c r="A6" s="7" t="inlineStr">
        <is>
          <t>Platform</t>
        </is>
      </c>
      <c r="B6" s="17">
        <f>'3-Year Build'!B20</f>
        <v/>
      </c>
      <c r="C6" s="17">
        <f>'3-Year Build'!C20</f>
        <v/>
      </c>
      <c r="D6" s="17">
        <f>'3-Year Build'!D20</f>
        <v/>
      </c>
    </row>
    <row r="7">
      <c r="A7" s="7" t="inlineStr">
        <is>
          <t>Embedded</t>
        </is>
      </c>
      <c r="B7" s="17">
        <f>'3-Year Build'!B21</f>
        <v/>
      </c>
      <c r="C7" s="17">
        <f>'3-Year Build'!C21</f>
        <v/>
      </c>
      <c r="D7" s="17">
        <f>'3-Year Build'!D21</f>
        <v/>
      </c>
    </row>
    <row r="8">
      <c r="A8" s="10" t="inlineStr">
        <is>
          <t>Total Revenue</t>
        </is>
      </c>
      <c r="B8" s="11">
        <f>'3-Year Build'!B22</f>
        <v/>
      </c>
      <c r="C8" s="11">
        <f>'3-Year Build'!C22</f>
        <v/>
      </c>
      <c r="D8" s="11">
        <f>'3-Year Build'!D22</f>
        <v/>
      </c>
    </row>
    <row r="10">
      <c r="A10" s="10" t="inlineStr">
        <is>
          <t>Total Gross Profit</t>
        </is>
      </c>
      <c r="B10" s="11">
        <f>'3-Year Build'!B31</f>
        <v/>
      </c>
      <c r="C10" s="11">
        <f>'3-Year Build'!C31</f>
        <v/>
      </c>
      <c r="D10" s="11">
        <f>'3-Year Build'!D31</f>
        <v/>
      </c>
    </row>
    <row r="11">
      <c r="A11" s="10" t="inlineStr">
        <is>
          <t>Gross Margin %</t>
        </is>
      </c>
      <c r="B11" s="12">
        <f>'3-Year Build'!B32</f>
        <v/>
      </c>
      <c r="C11" s="12">
        <f>'3-Year Build'!C32</f>
        <v/>
      </c>
      <c r="D11" s="12">
        <f>'3-Year Build'!D32</f>
        <v/>
      </c>
    </row>
    <row r="13">
      <c r="A13" s="10" t="inlineStr">
        <is>
          <t>Active customer relationships (year-end)</t>
        </is>
      </c>
    </row>
    <row r="14">
      <c r="A14" s="7" t="inlineStr">
        <is>
          <t>Advisory engagements (that year)</t>
        </is>
      </c>
      <c r="B14" s="19">
        <f>'3-Year Build'!B6</f>
        <v/>
      </c>
      <c r="C14" s="19">
        <f>'3-Year Build'!C6</f>
        <v/>
      </c>
      <c r="D14" s="19">
        <f>'3-Year Build'!D6</f>
        <v/>
      </c>
    </row>
    <row r="15">
      <c r="A15" s="7" t="inlineStr">
        <is>
          <t>Platform (cumulative active)</t>
        </is>
      </c>
      <c r="B15" s="23">
        <f>'3-Year Build'!B11</f>
        <v/>
      </c>
      <c r="C15" s="23">
        <f>'3-Year Build'!C11</f>
        <v/>
      </c>
      <c r="D15" s="23">
        <f>'3-Year Build'!D11</f>
        <v/>
      </c>
    </row>
    <row r="16">
      <c r="A16" s="7" t="inlineStr">
        <is>
          <t>Embedded (cumulative active)</t>
        </is>
      </c>
      <c r="B16" s="23">
        <f>'3-Year Build'!B12</f>
        <v/>
      </c>
      <c r="C16" s="23">
        <f>'3-Year Build'!C12</f>
        <v/>
      </c>
      <c r="D16" s="23">
        <f>'3-Year Build'!D12</f>
        <v/>
      </c>
    </row>
    <row r="18">
      <c r="A18" s="13" t="inlineStr">
        <is>
          <t>All figures are illustrative planning assumptions built up from the Assumptions and Unit Economics tabs. Refine episode pricing, take rates, and the acquisition ramp as real contract data comes in.</t>
        </is>
      </c>
    </row>
  </sheetData>
  <mergeCells count="3">
    <mergeCell ref="A1:D1"/>
    <mergeCell ref="A18:D18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2026-07-29T16:11:59Z</dcterms:created>
  <dcterms:modified xmlns:dcterms="http://purl.org/dc/terms/" xmlns:xsi="http://www.w3.org/2001/XMLSchema-instance" xsi:type="dcterms:W3CDTF">2026-07-29T16:12:00Z</dcterms:modified>
</cp:coreProperties>
</file>