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egment Unit Economics" sheetId="3" state="visible" r:id="rId3"/>
    <sheet xmlns:r="http://schemas.openxmlformats.org/officeDocument/2006/relationships" name="3-Year Build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;($#,##0);&quot;-&quot;"/>
    <numFmt numFmtId="166" formatCode="$#,##0.00;($#,##0.00);&quot;-&quot;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E4B3A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E4B3A"/>
      </patternFill>
    </fill>
    <fill>
      <patternFill patternType="solid">
        <fgColor rgb="008FA68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3" fontId="7" fillId="0" borderId="0" pivotButton="0" quotePrefix="0" xfId="0"/>
    <xf numFmtId="164" fontId="7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8" fillId="0" borderId="0" applyAlignment="1" pivotButton="0" quotePrefix="0" xfId="0">
      <alignment vertical="top" wrapText="1"/>
    </xf>
    <xf numFmtId="165" fontId="7" fillId="0" borderId="0" pivotButton="0" quotePrefix="0" xfId="0"/>
    <xf numFmtId="3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4" fontId="6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6" fillId="0" borderId="0" pivotButton="0" quotePrefix="0" xfId="0"/>
    <xf numFmtId="2" fontId="3" fillId="0" borderId="0" pivotButton="0" quotePrefix="0" xfId="0"/>
    <xf numFmtId="167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Year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E4B3A"/>
            </a:solidFill>
            <a:ln xmlns:a="http://schemas.openxmlformats.org/drawingml/2006/main">
              <a:prstDash val="solid"/>
            </a:ln>
          </spPr>
          <cat>
            <numRef>
              <f>'Summary'!$B$3:$D$3</f>
            </numRef>
          </cat>
          <val>
            <numRef>
              <f>'Summary'!$B$8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'Summary'!$B$3:$D$3</f>
            </numRef>
          </cat>
          <val>
            <numRef>
              <f>'Summary'!$C$8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'Summary'!$B$3:$D$3</f>
            </numRef>
          </cat>
          <val>
            <numRef>
              <f>'Summary'!$D$8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92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2" ht="28" customHeight="1">
      <c r="A2" s="1" t="inlineStr">
        <is>
          <t>YIELD HEALTH — PMPM CARE MANAGEMENT PRICING MODEL</t>
        </is>
      </c>
    </row>
    <row r="4" ht="45" customHeight="1">
      <c r="B4" s="2" t="inlineStr">
        <is>
          <t>This workbook models a new Yield Health line of business: a PMPM (per member per month) care management program sold to risk-bearing provider groups and ACOs, spanning three population segments — Post-Acute Transitions, Peri-Operative Optimization, and Complex Chronic Care Management.</t>
        </is>
      </c>
    </row>
    <row r="5" ht="15" customHeight="1">
      <c r="B5" s="2" t="inlineStr"/>
    </row>
    <row r="6" ht="15" customHeight="1">
      <c r="B6" s="3" t="inlineStr">
        <is>
          <t>Tabs:</t>
        </is>
      </c>
    </row>
    <row r="7" ht="45" customHeight="1">
      <c r="B7" s="2" t="inlineStr">
        <is>
          <t xml:space="preserve">  Assumptions — every input the model runs on (customer sizing, segment enrollment rates, PMPM fees, CMS billing capture, delivery cost, ramp curve, customer acquisition plan). Blue text = editable input.</t>
        </is>
      </c>
    </row>
    <row r="8" ht="45" customHeight="1">
      <c r="B8" s="2" t="inlineStr">
        <is>
          <t xml:space="preserve">  Segment Unit Economics — per-enrolled-member and per-customer revenue, cost, and margin for each of the three population segments, plus a blended total.</t>
        </is>
      </c>
    </row>
    <row r="9" ht="45" customHeight="1">
      <c r="B9" s="2" t="inlineStr">
        <is>
          <t xml:space="preserve">  3-Year Build — customer cohort ramp (new signings, retention, enrollment maturity by relationship year) driving total revenue, cost, and gross profit.</t>
        </is>
      </c>
    </row>
    <row r="10" ht="15" customHeight="1">
      <c r="B10" s="2" t="inlineStr">
        <is>
          <t xml:space="preserve">  Summary — company-level rollup and a revenue-by-year chart.</t>
        </is>
      </c>
    </row>
    <row r="11" ht="15" customHeight="1">
      <c r="B11" s="2" t="inlineStr"/>
    </row>
    <row r="12" ht="45" customHeight="1">
      <c r="B12" s="2" t="inlineStr">
        <is>
          <t>How to use it: change any blue cell on the Assumptions tab and every other tab recalculates. All dollar figures are illustrative planning assumptions unless a source is cited in an adjacent note.</t>
        </is>
      </c>
    </row>
    <row r="13" ht="15" customHeight="1">
      <c r="B13" s="2" t="inlineStr"/>
    </row>
    <row r="14" ht="45" customHeight="1">
      <c r="B14" s="2" t="inlineStr">
        <is>
          <t>Sourced figures (verified July 2026): CMS reports 14.3M Medicare beneficiaries in an ACO for 2026 (511 MSSP ACOs covering 12.6M lives, 74 ACO REACH ACOs covering 1.7M lives); 2026 Medicare Physician Fee Schedule national average rates for CPT 99490 ($62), 99487 ($144), 99489 ($78 add-on), 99424 PCM ($88), 99495/99496 TCM (~$220/$298.60), HCPCS G0023/G0024 PIN (~$87/$54), and RPM codes 99453/99454/99457/99458 (~$22/$47/$52/$41). Enrollment rates, PMPM pricing, delivery cost, customer sizing, and the acquisition ramp are labeled planning assumptions for Yield Health to refine with real underwriting data — this is a planning model, not a quote or a filed rate schedule.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14" customWidth="1" min="2" max="2"/>
    <col width="14" customWidth="1" min="3" max="3"/>
    <col width="14" customWidth="1" min="4" max="4"/>
    <col width="3" customWidth="1" min="5" max="5"/>
    <col width="46" customWidth="1" min="6" max="6"/>
  </cols>
  <sheetData>
    <row r="1" ht="22" customHeight="1">
      <c r="A1" s="1" t="inlineStr">
        <is>
          <t>ASSUMPTIONS</t>
        </is>
      </c>
    </row>
    <row r="3" ht="18" customHeight="1">
      <c r="A3" s="4" t="inlineStr">
        <is>
          <t>1. CUSTOMER SIZING — covered/attributed lives per risk-bearing provider group</t>
        </is>
      </c>
    </row>
    <row r="4">
      <c r="A4" s="5" t="inlineStr">
        <is>
          <t>Size tier</t>
        </is>
      </c>
      <c r="B4" s="6" t="inlineStr">
        <is>
          <t>Lives</t>
        </is>
      </c>
      <c r="C4" s="6" t="inlineStr">
        <is>
          <t>Mix %</t>
        </is>
      </c>
    </row>
    <row r="5">
      <c r="A5" s="7" t="inlineStr">
        <is>
          <t>Small</t>
        </is>
      </c>
      <c r="B5" s="8" t="n">
        <v>15000</v>
      </c>
      <c r="C5" s="9" t="n">
        <v>0.5</v>
      </c>
    </row>
    <row r="6">
      <c r="A6" s="7" t="inlineStr">
        <is>
          <t>Medium</t>
        </is>
      </c>
      <c r="B6" s="8" t="n">
        <v>45000</v>
      </c>
      <c r="C6" s="9" t="n">
        <v>0.35</v>
      </c>
    </row>
    <row r="7">
      <c r="A7" s="7" t="inlineStr">
        <is>
          <t>Large</t>
        </is>
      </c>
      <c r="B7" s="8" t="n">
        <v>120000</v>
      </c>
      <c r="C7" s="9" t="n">
        <v>0.15</v>
      </c>
    </row>
    <row r="8">
      <c r="A8" s="10" t="inlineStr">
        <is>
          <t>Blended lives per customer</t>
        </is>
      </c>
      <c r="B8" s="11">
        <f>SUMPRODUCT(B5:B7,C5:C7)</f>
        <v/>
      </c>
    </row>
    <row r="9">
      <c r="A9" s="12" t="inlineStr">
        <is>
          <t>Size mix is a planning assumption. For reference: CMS reports 511 MSSP ACOs covering 12.6M lives (avg ~24,700/ACO) and 74 ACO REACH ACOs covering 1.7M lives (avg ~23,000/ACO) in 2026 — the blended average above assumes Yield Health's PMPM offering skews toward larger, better-resourced organizations able to fund an external vendor.</t>
        </is>
      </c>
    </row>
    <row r="12" ht="18" customHeight="1">
      <c r="A12" s="4" t="inlineStr">
        <is>
          <t>2. POPULATION SEGMENTS — enrollment rate (% of covered lives actively enrolled/month)</t>
        </is>
      </c>
    </row>
    <row r="13">
      <c r="A13" s="5" t="inlineStr">
        <is>
          <t>Segment</t>
        </is>
      </c>
      <c r="B13" s="6" t="inlineStr">
        <is>
          <t>Enrollment rate</t>
        </is>
      </c>
      <c r="C13" s="6" t="inlineStr"/>
      <c r="D13" s="6" t="inlineStr"/>
    </row>
    <row r="14">
      <c r="A14" s="7" t="inlineStr">
        <is>
          <t>Post-Acute Transitions</t>
        </is>
      </c>
      <c r="B14" s="9" t="n">
        <v>0.008</v>
      </c>
    </row>
    <row r="15">
      <c r="A15" s="7" t="inlineStr">
        <is>
          <t>Peri-Operative Optimization</t>
        </is>
      </c>
      <c r="B15" s="9" t="n">
        <v>0.005</v>
      </c>
    </row>
    <row r="16">
      <c r="A16" s="7" t="inlineStr">
        <is>
          <t>Complex Chronic CM</t>
        </is>
      </c>
      <c r="B16" s="9" t="n">
        <v>0.04</v>
      </c>
    </row>
    <row r="18">
      <c r="A18" s="12" t="inlineStr">
        <is>
          <t>Post-Acute Transitions: members with a recent acute stay or TEAM-eligible surgical episode, ~60-90 day intensive window. Peri-Operative: members with a scheduled major surgery, pre-op through recovery. Complex Chronic CM: multi-condition, high-HCC members in ongoing monthly management. Rates reflect the well-established finding that a small share of any population drives the majority of preventable cost and utilization.</t>
        </is>
      </c>
    </row>
    <row r="21" ht="18" customHeight="1">
      <c r="A21" s="4" t="inlineStr">
        <is>
          <t>3. PMPM CLIENT FEE — charged to the ACO/provider group per enrolled member per month</t>
        </is>
      </c>
    </row>
    <row r="22">
      <c r="A22" s="5" t="inlineStr">
        <is>
          <t>Segment</t>
        </is>
      </c>
      <c r="B22" s="6" t="inlineStr">
        <is>
          <t>PMPM fee</t>
        </is>
      </c>
      <c r="C22" s="6" t="inlineStr"/>
      <c r="D22" s="6" t="inlineStr"/>
    </row>
    <row r="23">
      <c r="A23" s="7" t="inlineStr">
        <is>
          <t>Post-Acute Transitions</t>
        </is>
      </c>
      <c r="B23" s="13" t="n">
        <v>175</v>
      </c>
    </row>
    <row r="24">
      <c r="A24" s="7" t="inlineStr">
        <is>
          <t>Peri-Operative Optimization</t>
        </is>
      </c>
      <c r="B24" s="13" t="n">
        <v>195</v>
      </c>
    </row>
    <row r="25">
      <c r="A25" s="7" t="inlineStr">
        <is>
          <t>Complex Chronic CM</t>
        </is>
      </c>
      <c r="B25" s="13" t="n">
        <v>85</v>
      </c>
    </row>
    <row r="28" ht="18" customHeight="1">
      <c r="A28" s="4" t="inlineStr">
        <is>
          <t>4. CMS BILLING REVENUE — net to Yield Health, per enrolled member per month</t>
        </is>
      </c>
    </row>
    <row r="29">
      <c r="A29" s="5" t="inlineStr">
        <is>
          <t>Segment</t>
        </is>
      </c>
      <c r="B29" s="6" t="inlineStr">
        <is>
          <t>Net CMS billing PMPM</t>
        </is>
      </c>
      <c r="C29" s="6" t="inlineStr"/>
      <c r="D29" s="6" t="inlineStr"/>
    </row>
    <row r="30">
      <c r="A30" s="7" t="inlineStr">
        <is>
          <t>Post-Acute Transitions</t>
        </is>
      </c>
      <c r="B30" s="13" t="n">
        <v>80</v>
      </c>
    </row>
    <row r="31">
      <c r="A31" s="7" t="inlineStr">
        <is>
          <t>Peri-Operative Optimization</t>
        </is>
      </c>
      <c r="B31" s="13" t="n">
        <v>85</v>
      </c>
    </row>
    <row r="32">
      <c r="A32" s="7" t="inlineStr">
        <is>
          <t>Complex Chronic CM</t>
        </is>
      </c>
      <c r="B32" s="13" t="n">
        <v>95</v>
      </c>
    </row>
    <row r="34">
      <c r="A34" s="12" t="inlineStr">
        <is>
          <t>Assumes a 60% contracted revenue-share on collected CM billing (same structure as Yield Health's TEAM Embedded tier) — billing runs through the provider group's or an affiliated physician group's Medicare enrollment, not Yield Health's own NPI. Post-Acute and Peri-Operative capture is largely episodic TCM/PIN revenue (CPT 99495/99496, HCPCS G0023/G0024), amortized here to a monthly-equivalent figure for modeling. Complex Chronic capture is genuinely recurring, blending complex CCM (99487/99489), PCM (99424+), and RPM (99453/99454/99457/99458).</t>
        </is>
      </c>
    </row>
    <row r="37" ht="18" customHeight="1">
      <c r="A37" s="4" t="inlineStr">
        <is>
          <t>5. DELIVERY COST — per enrolled member per month, staffing-driven</t>
        </is>
      </c>
    </row>
    <row r="38">
      <c r="A38" s="5" t="inlineStr">
        <is>
          <t>Segment</t>
        </is>
      </c>
      <c r="B38" s="6" t="inlineStr">
        <is>
          <t>Delivery cost PMPM</t>
        </is>
      </c>
      <c r="C38" s="6" t="inlineStr"/>
      <c r="D38" s="6" t="inlineStr"/>
    </row>
    <row r="39">
      <c r="A39" s="7" t="inlineStr">
        <is>
          <t>Post-Acute Transitions</t>
        </is>
      </c>
      <c r="B39" s="13" t="n">
        <v>115</v>
      </c>
    </row>
    <row r="40">
      <c r="A40" s="7" t="inlineStr">
        <is>
          <t>Peri-Operative Optimization</t>
        </is>
      </c>
      <c r="B40" s="13" t="n">
        <v>130</v>
      </c>
    </row>
    <row r="41">
      <c r="A41" s="7" t="inlineStr">
        <is>
          <t>Complex Chronic CM</t>
        </is>
      </c>
      <c r="B41" s="13" t="n">
        <v>55</v>
      </c>
    </row>
    <row r="43">
      <c r="A43" s="7" t="inlineStr">
        <is>
          <t>Technology / platform overhead (% of segment revenue)</t>
        </is>
      </c>
      <c r="B43" s="9" t="n">
        <v>0.05</v>
      </c>
    </row>
    <row r="45" ht="18" customHeight="1">
      <c r="A45" s="4" t="inlineStr">
        <is>
          <t>6. ONE-TIME ONBOARDING FEE</t>
        </is>
      </c>
    </row>
    <row r="46">
      <c r="A46" s="7" t="inlineStr">
        <is>
          <t>Onboarding / implementation fee, per new customer</t>
        </is>
      </c>
      <c r="B46" s="13" t="n">
        <v>35000</v>
      </c>
    </row>
    <row r="47">
      <c r="A47" s="7" t="inlineStr">
        <is>
          <t>Onboarding delivery margin</t>
        </is>
      </c>
      <c r="B47" s="9" t="n">
        <v>0.65</v>
      </c>
    </row>
    <row r="49" ht="18" customHeight="1">
      <c r="A49" s="4" t="inlineStr">
        <is>
          <t>7. ENROLLMENT MATURITY RAMP — % of full target enrollment reached, by relationship year</t>
        </is>
      </c>
    </row>
    <row r="50">
      <c r="A50" s="5" t="inlineStr">
        <is>
          <t>Relationship year</t>
        </is>
      </c>
      <c r="B50" s="6" t="inlineStr">
        <is>
          <t>% of target enrollment</t>
        </is>
      </c>
      <c r="C50" s="6" t="inlineStr"/>
      <c r="D50" s="6" t="inlineStr"/>
    </row>
    <row r="51">
      <c r="A51" s="7" t="inlineStr">
        <is>
          <t>Year 1 (signing year)</t>
        </is>
      </c>
      <c r="B51" s="9" t="n">
        <v>0.2</v>
      </c>
    </row>
    <row r="52">
      <c r="A52" s="7" t="inlineStr">
        <is>
          <t>Year 2</t>
        </is>
      </c>
      <c r="B52" s="9" t="n">
        <v>0.6</v>
      </c>
    </row>
    <row r="53">
      <c r="A53" s="7" t="inlineStr">
        <is>
          <t>Year 3+</t>
        </is>
      </c>
      <c r="B53" s="9" t="n">
        <v>1</v>
      </c>
    </row>
    <row r="55">
      <c r="A55" s="12" t="inlineStr">
        <is>
          <t>New customers take time to build identification workflows, hire care teams, and ramp referral volume — modeled here as a 3-year maturity curve rather than an instant jump to full enrollment.</t>
        </is>
      </c>
    </row>
    <row r="58" ht="18" customHeight="1">
      <c r="A58" s="4" t="inlineStr">
        <is>
          <t>8. CUSTOMER ACQUISITION PLAN</t>
        </is>
      </c>
    </row>
    <row r="59">
      <c r="A59" s="5" t="inlineStr">
        <is>
          <t>Year</t>
        </is>
      </c>
      <c r="B59" s="6" t="inlineStr">
        <is>
          <t>New customers signed</t>
        </is>
      </c>
      <c r="C59" s="6" t="inlineStr"/>
      <c r="D59" s="6" t="inlineStr"/>
    </row>
    <row r="60">
      <c r="A60" s="7" t="inlineStr">
        <is>
          <t>Year 1</t>
        </is>
      </c>
      <c r="B60" s="8" t="n">
        <v>2</v>
      </c>
    </row>
    <row r="61">
      <c r="A61" s="7" t="inlineStr">
        <is>
          <t>Year 2</t>
        </is>
      </c>
      <c r="B61" s="8" t="n">
        <v>6</v>
      </c>
    </row>
    <row r="62">
      <c r="A62" s="7" t="inlineStr">
        <is>
          <t>Year 3</t>
        </is>
      </c>
      <c r="B62" s="8" t="n">
        <v>10</v>
      </c>
    </row>
    <row r="64">
      <c r="A64" s="7" t="inlineStr">
        <is>
          <t>Annual retention rate</t>
        </is>
      </c>
      <c r="B64" s="9" t="n">
        <v>0.9</v>
      </c>
    </row>
    <row r="65">
      <c r="A65" s="12" t="inlineStr">
        <is>
          <t>Year 1 is a design-partner phase, consistent with how Yield Health launched the TEAM Embedded tier — a small number of sophisticated risk-bearing groups willing to build the program jointly, prioritizing existing TEAM hospital relationships as warm introductions into their affiliated ACOs.</t>
        </is>
      </c>
    </row>
  </sheetData>
  <mergeCells count="14">
    <mergeCell ref="A1:D1"/>
    <mergeCell ref="A37:D37"/>
    <mergeCell ref="A9:D9"/>
    <mergeCell ref="A18:D18"/>
    <mergeCell ref="A45:D45"/>
    <mergeCell ref="A58:D58"/>
    <mergeCell ref="A34:D34"/>
    <mergeCell ref="A12:D12"/>
    <mergeCell ref="A3:D3"/>
    <mergeCell ref="A21:D21"/>
    <mergeCell ref="A55:D55"/>
    <mergeCell ref="A65:D65"/>
    <mergeCell ref="A49:D49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SEGMENT UNIT ECONOMICS — per full-run-rate customer</t>
        </is>
      </c>
    </row>
    <row r="3">
      <c r="A3" s="7" t="inlineStr">
        <is>
          <t>Blended lives per customer (from Assumptions)</t>
        </is>
      </c>
      <c r="B3" s="14">
        <f>Assumptions!B8</f>
        <v/>
      </c>
    </row>
    <row r="5">
      <c r="A5" s="5" t="inlineStr">
        <is>
          <t>Segment</t>
        </is>
      </c>
      <c r="B5" s="6" t="inlineStr">
        <is>
          <t>Enrolled members</t>
        </is>
      </c>
      <c r="C5" s="6" t="inlineStr">
        <is>
          <t>PMPM client fee</t>
        </is>
      </c>
      <c r="D5" s="6" t="inlineStr">
        <is>
          <t>Net CMS billing PMPM</t>
        </is>
      </c>
      <c r="E5" s="6" t="inlineStr">
        <is>
          <t>Total rev PMPM</t>
        </is>
      </c>
      <c r="F5" s="6" t="inlineStr">
        <is>
          <t>Delivery cost PMPM</t>
        </is>
      </c>
      <c r="G5" s="6" t="inlineStr">
        <is>
          <t>Tech overhead PMPM</t>
        </is>
      </c>
      <c r="H5" s="6" t="inlineStr">
        <is>
          <t>Total cost PMPM</t>
        </is>
      </c>
      <c r="I5" s="6" t="inlineStr">
        <is>
          <t>GP PMPM</t>
        </is>
      </c>
      <c r="J5" s="6" t="inlineStr">
        <is>
          <t>Margin</t>
        </is>
      </c>
    </row>
    <row r="6">
      <c r="A6" s="7" t="inlineStr">
        <is>
          <t>Post-Acute Transitions</t>
        </is>
      </c>
      <c r="B6" s="14">
        <f>$B$3*Assumptions!B14</f>
        <v/>
      </c>
      <c r="C6" s="15">
        <f>Assumptions!B23</f>
        <v/>
      </c>
      <c r="D6" s="15">
        <f>Assumptions!B30</f>
        <v/>
      </c>
      <c r="E6" s="15">
        <f>C6+D6</f>
        <v/>
      </c>
      <c r="F6" s="15">
        <f>Assumptions!B39</f>
        <v/>
      </c>
      <c r="G6" s="16">
        <f>E6*Assumptions!$B$43</f>
        <v/>
      </c>
      <c r="H6" s="16">
        <f>F6+G6</f>
        <v/>
      </c>
      <c r="I6" s="16">
        <f>E6-H6</f>
        <v/>
      </c>
      <c r="J6" s="17">
        <f>I6/E6</f>
        <v/>
      </c>
    </row>
    <row r="7">
      <c r="A7" s="7" t="inlineStr">
        <is>
          <t>Peri-Operative Optimization</t>
        </is>
      </c>
      <c r="B7" s="14">
        <f>$B$3*Assumptions!B15</f>
        <v/>
      </c>
      <c r="C7" s="15">
        <f>Assumptions!B24</f>
        <v/>
      </c>
      <c r="D7" s="15">
        <f>Assumptions!B31</f>
        <v/>
      </c>
      <c r="E7" s="15">
        <f>C7+D7</f>
        <v/>
      </c>
      <c r="F7" s="15">
        <f>Assumptions!B40</f>
        <v/>
      </c>
      <c r="G7" s="16">
        <f>E7*Assumptions!$B$43</f>
        <v/>
      </c>
      <c r="H7" s="16">
        <f>F7+G7</f>
        <v/>
      </c>
      <c r="I7" s="16">
        <f>E7-H7</f>
        <v/>
      </c>
      <c r="J7" s="17">
        <f>I7/E7</f>
        <v/>
      </c>
    </row>
    <row r="8">
      <c r="A8" s="7" t="inlineStr">
        <is>
          <t>Complex Chronic CM</t>
        </is>
      </c>
      <c r="B8" s="14">
        <f>$B$3*Assumptions!B16</f>
        <v/>
      </c>
      <c r="C8" s="15">
        <f>Assumptions!B25</f>
        <v/>
      </c>
      <c r="D8" s="15">
        <f>Assumptions!B32</f>
        <v/>
      </c>
      <c r="E8" s="15">
        <f>C8+D8</f>
        <v/>
      </c>
      <c r="F8" s="15">
        <f>Assumptions!B41</f>
        <v/>
      </c>
      <c r="G8" s="16">
        <f>E8*Assumptions!$B$43</f>
        <v/>
      </c>
      <c r="H8" s="16">
        <f>F8+G8</f>
        <v/>
      </c>
      <c r="I8" s="16">
        <f>E8-H8</f>
        <v/>
      </c>
      <c r="J8" s="17">
        <f>I8/E8</f>
        <v/>
      </c>
    </row>
    <row r="10" ht="18" customHeight="1">
      <c r="A10" s="4" t="inlineStr">
        <is>
          <t>ANNUALIZED, PER FULL-RUN-RATE CUSTOMER</t>
        </is>
      </c>
    </row>
    <row r="11">
      <c r="A11" s="5" t="inlineStr">
        <is>
          <t>Segment</t>
        </is>
      </c>
      <c r="B11" s="6" t="inlineStr">
        <is>
          <t>Annual revenue</t>
        </is>
      </c>
      <c r="C11" s="6" t="inlineStr">
        <is>
          <t>Annual cost</t>
        </is>
      </c>
      <c r="D11" s="6" t="inlineStr">
        <is>
          <t>Annual GP</t>
        </is>
      </c>
      <c r="E11" s="6" t="inlineStr"/>
      <c r="F11" s="6" t="inlineStr"/>
      <c r="G11" s="6" t="inlineStr"/>
      <c r="H11" s="6" t="inlineStr"/>
    </row>
    <row r="12">
      <c r="A12" s="7" t="inlineStr">
        <is>
          <t>Post-Acute Transitions</t>
        </is>
      </c>
      <c r="B12" s="15">
        <f>B6*E6*12</f>
        <v/>
      </c>
      <c r="C12" s="15">
        <f>B6*H6*12</f>
        <v/>
      </c>
      <c r="D12" s="15">
        <f>B12-C12</f>
        <v/>
      </c>
    </row>
    <row r="13">
      <c r="A13" s="7" t="inlineStr">
        <is>
          <t>Peri-Operative Optimization</t>
        </is>
      </c>
      <c r="B13" s="15">
        <f>B7*E7*12</f>
        <v/>
      </c>
      <c r="C13" s="15">
        <f>B7*H7*12</f>
        <v/>
      </c>
      <c r="D13" s="15">
        <f>B13-C13</f>
        <v/>
      </c>
    </row>
    <row r="14">
      <c r="A14" s="7" t="inlineStr">
        <is>
          <t>Complex Chronic CM</t>
        </is>
      </c>
      <c r="B14" s="15">
        <f>B8*E8*12</f>
        <v/>
      </c>
      <c r="C14" s="15">
        <f>B8*H8*12</f>
        <v/>
      </c>
      <c r="D14" s="15">
        <f>B14-C14</f>
        <v/>
      </c>
    </row>
    <row r="15">
      <c r="A15" s="10" t="inlineStr">
        <is>
          <t>Blended total per customer</t>
        </is>
      </c>
      <c r="B15" s="18">
        <f>SUM(B12:B14)</f>
        <v/>
      </c>
      <c r="C15" s="18">
        <f>SUM(C12:C14)</f>
        <v/>
      </c>
      <c r="D15" s="18">
        <f>B15-C15</f>
        <v/>
      </c>
    </row>
    <row r="16">
      <c r="A16" s="10" t="inlineStr">
        <is>
          <t>Blended margin</t>
        </is>
      </c>
      <c r="B16" s="19">
        <f>D15/B15</f>
        <v/>
      </c>
    </row>
    <row r="18">
      <c r="A18" s="12" t="inlineStr">
        <is>
          <t>Full run-rate = a customer at 100% of target enrollment (relationship year 3+ per the maturity ramp on the Assumptions tab). The 3-Year Build tab applies the ramp curve and acquisition plan to phase customers in below full run-rate during their first two years.</t>
        </is>
      </c>
    </row>
  </sheetData>
  <mergeCells count="3">
    <mergeCell ref="A1:G1"/>
    <mergeCell ref="A10:G10"/>
    <mergeCell ref="A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 outlineLevelCol="0"/>
  <cols>
    <col width="26" customWidth="1" min="1" max="1"/>
    <col width="16" customWidth="1" min="2" max="2"/>
    <col width="20" customWidth="1" min="3" max="3"/>
    <col width="20" customWidth="1" min="4" max="4"/>
    <col width="20" customWidth="1" min="5" max="5"/>
    <col width="3" customWidth="1" min="6" max="6"/>
  </cols>
  <sheetData>
    <row r="1" ht="22" customHeight="1">
      <c r="A1" s="1" t="inlineStr">
        <is>
          <t>3-YEAR BUILD</t>
        </is>
      </c>
    </row>
    <row r="3" ht="18" customHeight="1">
      <c r="A3" s="4" t="inlineStr">
        <is>
          <t>COHORT MATRIX — revenue-equivalent customers by calendar year (ramp-adjusted, retention-adjusted)</t>
        </is>
      </c>
    </row>
    <row r="4">
      <c r="A4" s="5" t="inlineStr">
        <is>
          <t>Cohort (signed in)</t>
        </is>
      </c>
      <c r="B4" s="6" t="inlineStr">
        <is>
          <t>New signed</t>
        </is>
      </c>
      <c r="C4" s="6" t="inlineStr">
        <is>
          <t>Year 1</t>
        </is>
      </c>
      <c r="D4" s="6" t="inlineStr">
        <is>
          <t>Year 2</t>
        </is>
      </c>
      <c r="E4" s="6" t="inlineStr">
        <is>
          <t>Year 3</t>
        </is>
      </c>
    </row>
    <row r="5">
      <c r="A5" s="7" t="inlineStr">
        <is>
          <t>Cohort: Year 1</t>
        </is>
      </c>
      <c r="B5" s="14">
        <f>Assumptions!B60</f>
        <v/>
      </c>
      <c r="C5" s="20">
        <f>B5*Assumptions!B51</f>
        <v/>
      </c>
      <c r="D5" s="20">
        <f>B5*Assumptions!$B$64*Assumptions!B52</f>
        <v/>
      </c>
      <c r="E5" s="20">
        <f>B5*Assumptions!$B$64^2*Assumptions!B53</f>
        <v/>
      </c>
    </row>
    <row r="6">
      <c r="A6" s="7" t="inlineStr">
        <is>
          <t>Cohort: Year 2</t>
        </is>
      </c>
      <c r="B6" s="14">
        <f>Assumptions!B61</f>
        <v/>
      </c>
      <c r="C6" s="20">
        <f>0</f>
        <v/>
      </c>
      <c r="D6" s="20">
        <f>B6*Assumptions!B51</f>
        <v/>
      </c>
      <c r="E6" s="20">
        <f>B6*Assumptions!$B$64*Assumptions!B52</f>
        <v/>
      </c>
    </row>
    <row r="7">
      <c r="A7" s="7" t="inlineStr">
        <is>
          <t>Cohort: Year 3</t>
        </is>
      </c>
      <c r="B7" s="14">
        <f>Assumptions!B62</f>
        <v/>
      </c>
      <c r="C7" s="20">
        <f>0</f>
        <v/>
      </c>
      <c r="D7" s="20">
        <f>0</f>
        <v/>
      </c>
      <c r="E7" s="20">
        <f>B7*Assumptions!B51</f>
        <v/>
      </c>
    </row>
    <row r="8">
      <c r="A8" s="10" t="inlineStr">
        <is>
          <t>Total revenue-equiv customers</t>
        </is>
      </c>
      <c r="C8" s="21">
        <f>SUM(C5:C7)</f>
        <v/>
      </c>
      <c r="D8" s="21">
        <f>SUM(D5:D7)</f>
        <v/>
      </c>
      <c r="E8" s="21">
        <f>SUM(E5:E7)</f>
        <v/>
      </c>
    </row>
    <row r="10" ht="18" customHeight="1">
      <c r="A10" s="4" t="inlineStr">
        <is>
          <t>CUMULATIVE CUSTOMERS &amp; LIVES ON ROSTER (unweighted headcount, for context)</t>
        </is>
      </c>
    </row>
    <row r="11">
      <c r="A11" s="5" t="inlineStr"/>
      <c r="B11" s="6" t="inlineStr"/>
      <c r="C11" s="6" t="inlineStr">
        <is>
          <t>Year 1</t>
        </is>
      </c>
      <c r="D11" s="6" t="inlineStr">
        <is>
          <t>Year 2</t>
        </is>
      </c>
      <c r="E11" s="6" t="inlineStr">
        <is>
          <t>Year 3</t>
        </is>
      </c>
    </row>
    <row r="12">
      <c r="A12" s="7" t="inlineStr">
        <is>
          <t>Cumulative active customers</t>
        </is>
      </c>
      <c r="C12" s="22">
        <f>B5</f>
        <v/>
      </c>
      <c r="D12" s="22">
        <f>B5*Assumptions!$B$64+B6</f>
        <v/>
      </c>
      <c r="E12" s="22">
        <f>(B5*Assumptions!$B$64+B6)*Assumptions!$B$64+B7</f>
        <v/>
      </c>
    </row>
    <row r="13">
      <c r="A13" s="7" t="inlineStr">
        <is>
          <t>Covered lives on roster</t>
        </is>
      </c>
      <c r="C13" s="14">
        <f>C12*Assumptions!B8</f>
        <v/>
      </c>
      <c r="D13" s="14">
        <f>D12*Assumptions!B8</f>
        <v/>
      </c>
      <c r="E13" s="14">
        <f>E12*Assumptions!B8</f>
        <v/>
      </c>
    </row>
    <row r="15" ht="18" customHeight="1">
      <c r="A15" s="4" t="inlineStr">
        <is>
          <t>REVENUE, COST &amp; GROSS PROFIT</t>
        </is>
      </c>
    </row>
    <row r="16">
      <c r="A16" s="5" t="inlineStr"/>
      <c r="B16" s="6" t="inlineStr"/>
      <c r="C16" s="6" t="inlineStr">
        <is>
          <t>Year 1</t>
        </is>
      </c>
      <c r="D16" s="6" t="inlineStr">
        <is>
          <t>Year 2</t>
        </is>
      </c>
      <c r="E16" s="6" t="inlineStr">
        <is>
          <t>Year 3</t>
        </is>
      </c>
    </row>
    <row r="17">
      <c r="A17" s="7" t="inlineStr">
        <is>
          <t>Recurring revenue (PMPM + CMS billing)</t>
        </is>
      </c>
      <c r="C17" s="15">
        <f>C8*'Segment Unit Economics'!$B$15</f>
        <v/>
      </c>
      <c r="D17" s="15">
        <f>D8*'Segment Unit Economics'!$B$15</f>
        <v/>
      </c>
      <c r="E17" s="15">
        <f>E8*'Segment Unit Economics'!$B$15</f>
        <v/>
      </c>
    </row>
    <row r="18">
      <c r="A18" s="7" t="inlineStr">
        <is>
          <t>Recurring cost</t>
        </is>
      </c>
      <c r="C18" s="15">
        <f>C8*'Segment Unit Economics'!$C$15</f>
        <v/>
      </c>
      <c r="D18" s="15">
        <f>D8*'Segment Unit Economics'!$C$15</f>
        <v/>
      </c>
      <c r="E18" s="15">
        <f>E8*'Segment Unit Economics'!$C$15</f>
        <v/>
      </c>
    </row>
    <row r="19">
      <c r="A19" s="7" t="inlineStr">
        <is>
          <t>Onboarding revenue (new signings)</t>
        </is>
      </c>
      <c r="C19" s="15">
        <f>B5*Assumptions!$B$46</f>
        <v/>
      </c>
      <c r="D19" s="15">
        <f>B6*Assumptions!$B$46</f>
        <v/>
      </c>
      <c r="E19" s="15">
        <f>B7*Assumptions!$B$46</f>
        <v/>
      </c>
    </row>
    <row r="20">
      <c r="A20" s="7" t="inlineStr">
        <is>
          <t>Onboarding cost</t>
        </is>
      </c>
      <c r="C20" s="15">
        <f>C19*(1-Assumptions!$B$47)</f>
        <v/>
      </c>
      <c r="D20" s="15">
        <f>D19*(1-Assumptions!$B$47)</f>
        <v/>
      </c>
      <c r="E20" s="15">
        <f>E19*(1-Assumptions!$B$47)</f>
        <v/>
      </c>
    </row>
    <row r="21">
      <c r="A21" s="10" t="inlineStr">
        <is>
          <t>TOTAL REVENUE</t>
        </is>
      </c>
      <c r="C21" s="18">
        <f>C17+C19</f>
        <v/>
      </c>
      <c r="D21" s="18">
        <f>D17+D19</f>
        <v/>
      </c>
      <c r="E21" s="18">
        <f>E17+E19</f>
        <v/>
      </c>
    </row>
    <row r="22">
      <c r="A22" s="10" t="inlineStr">
        <is>
          <t>TOTAL COST</t>
        </is>
      </c>
      <c r="C22" s="18">
        <f>C18+C20</f>
        <v/>
      </c>
      <c r="D22" s="18">
        <f>D18+D20</f>
        <v/>
      </c>
      <c r="E22" s="18">
        <f>E18+E20</f>
        <v/>
      </c>
    </row>
    <row r="23">
      <c r="A23" s="10" t="inlineStr">
        <is>
          <t>GROSS PROFIT</t>
        </is>
      </c>
      <c r="C23" s="18">
        <f>C21-C22</f>
        <v/>
      </c>
      <c r="D23" s="18">
        <f>D21-D22</f>
        <v/>
      </c>
      <c r="E23" s="18">
        <f>E21-E22</f>
        <v/>
      </c>
    </row>
    <row r="24">
      <c r="A24" s="10" t="inlineStr">
        <is>
          <t>Gross margin</t>
        </is>
      </c>
      <c r="C24" s="19">
        <f>C23/C21</f>
        <v/>
      </c>
      <c r="D24" s="19">
        <f>D23/D21</f>
        <v/>
      </c>
      <c r="E24" s="19">
        <f>E23/E21</f>
        <v/>
      </c>
    </row>
    <row r="26">
      <c r="A26" s="12" t="inlineStr">
        <is>
          <t>Revenue-equivalent customers phase in below full run-rate during their first two relationship years per the enrollment maturity ramp. A new cohort's onboarding fee is recognized in its signing year only.</t>
        </is>
      </c>
    </row>
  </sheetData>
  <mergeCells count="5">
    <mergeCell ref="A26:E26"/>
    <mergeCell ref="A15:E15"/>
    <mergeCell ref="A10:E10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3" customWidth="1" min="5" max="5"/>
  </cols>
  <sheetData>
    <row r="1" ht="22" customHeight="1">
      <c r="A1" s="1" t="inlineStr">
        <is>
          <t>YIELD HEALTH — PMPM LOB 3-YEAR SUMMARY</t>
        </is>
      </c>
    </row>
    <row r="3">
      <c r="A3" s="5" t="inlineStr"/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</row>
    <row r="4">
      <c r="A4" s="7" t="inlineStr">
        <is>
          <t>Cumulative customers</t>
        </is>
      </c>
      <c r="B4" s="22">
        <f>'3-Year Build'!C12</f>
        <v/>
      </c>
      <c r="C4" s="22">
        <f>'3-Year Build'!D12</f>
        <v/>
      </c>
      <c r="D4" s="22">
        <f>'3-Year Build'!E12</f>
        <v/>
      </c>
    </row>
    <row r="6">
      <c r="A6" s="7" t="inlineStr">
        <is>
          <t>Covered lives on roster</t>
        </is>
      </c>
      <c r="B6" s="14">
        <f>'3-Year Build'!C13</f>
        <v/>
      </c>
      <c r="C6" s="14">
        <f>'3-Year Build'!D13</f>
        <v/>
      </c>
      <c r="D6" s="14">
        <f>'3-Year Build'!E13</f>
        <v/>
      </c>
    </row>
    <row r="8">
      <c r="A8" s="10" t="inlineStr">
        <is>
          <t>Total revenue</t>
        </is>
      </c>
      <c r="B8" s="18">
        <f>'3-Year Build'!C21</f>
        <v/>
      </c>
      <c r="C8" s="18">
        <f>'3-Year Build'!D21</f>
        <v/>
      </c>
      <c r="D8" s="18">
        <f>'3-Year Build'!E21</f>
        <v/>
      </c>
    </row>
    <row r="10">
      <c r="A10" s="7" t="inlineStr">
        <is>
          <t>Total cost</t>
        </is>
      </c>
      <c r="B10" s="15">
        <f>'3-Year Build'!C22</f>
        <v/>
      </c>
      <c r="C10" s="15">
        <f>'3-Year Build'!D22</f>
        <v/>
      </c>
      <c r="D10" s="15">
        <f>'3-Year Build'!E22</f>
        <v/>
      </c>
    </row>
    <row r="12">
      <c r="A12" s="10" t="inlineStr">
        <is>
          <t>Gross profit</t>
        </is>
      </c>
      <c r="B12" s="18">
        <f>'3-Year Build'!C23</f>
        <v/>
      </c>
      <c r="C12" s="18">
        <f>'3-Year Build'!D23</f>
        <v/>
      </c>
      <c r="D12" s="18">
        <f>'3-Year Build'!E23</f>
        <v/>
      </c>
    </row>
    <row r="14">
      <c r="A14" s="7" t="inlineStr">
        <is>
          <t>Gross margin</t>
        </is>
      </c>
      <c r="B14" s="17">
        <f>'3-Year Build'!C24</f>
        <v/>
      </c>
      <c r="C14" s="17">
        <f>'3-Year Build'!D24</f>
        <v/>
      </c>
      <c r="D14" s="17">
        <f>'3-Year Build'!E24</f>
        <v/>
      </c>
    </row>
    <row r="17">
      <c r="A17" s="12" t="inlineStr">
        <is>
          <t>All figures are illustrative planning estimates built from the Assumptions tab — refine enrollment rates, PMPM pricing, and delivery cost as real underwriting and staffing data become available.</t>
        </is>
      </c>
    </row>
  </sheetData>
  <mergeCells count="2">
    <mergeCell ref="A1:D1"/>
    <mergeCell ref="A17:D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2026-07-29T16:14:38Z</dcterms:created>
  <dcterms:modified xmlns:dcterms="http://purl.org/dc/terms/" xmlns:xsi="http://www.w3.org/2001/XMLSchema-instance" xsi:type="dcterms:W3CDTF">2026-07-29T16:14:38Z</dcterms:modified>
</cp:coreProperties>
</file>