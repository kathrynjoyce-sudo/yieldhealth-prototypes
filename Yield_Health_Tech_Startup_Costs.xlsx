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ost Detail" sheetId="3" state="visible" r:id="rId3"/>
    <sheet xmlns:r="http://schemas.openxmlformats.org/officeDocument/2006/relationships"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($#,##0.00);&quot;-&quot;"/>
    <numFmt numFmtId="165" formatCode="$#,##0;($#,##0);&quot;-&quot;"/>
    <numFmt numFmtId="166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1E4B3A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808080"/>
      <sz val="8"/>
    </font>
  </fonts>
  <fills count="6">
    <fill>
      <patternFill/>
    </fill>
    <fill>
      <patternFill patternType="gray125"/>
    </fill>
    <fill>
      <patternFill patternType="solid">
        <fgColor rgb="001E4B3A"/>
      </patternFill>
    </fill>
    <fill>
      <patternFill patternType="solid">
        <fgColor rgb="008FA687"/>
      </patternFill>
    </fill>
    <fill>
      <patternFill patternType="solid">
        <fgColor rgb="00F2F2F2"/>
      </patternFill>
    </fill>
    <fill>
      <patternFill patternType="solid">
        <fgColor rgb="00E3EE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indent="1"/>
    </xf>
    <xf numFmtId="0" fontId="5" fillId="4" borderId="1" applyAlignment="1" pivotButton="0" quotePrefix="0" xfId="0">
      <alignment horizontal="left"/>
    </xf>
    <xf numFmtId="0" fontId="5" fillId="4" borderId="1" applyAlignment="1" pivotButton="0" quotePrefix="0" xfId="0">
      <alignment horizontal="center"/>
    </xf>
    <xf numFmtId="0" fontId="6" fillId="0" borderId="0" pivotButton="0" quotePrefix="0" xfId="0"/>
    <xf numFmtId="3" fontId="7" fillId="0" borderId="0" pivotButton="0" quotePrefix="0" xfId="0"/>
    <xf numFmtId="0" fontId="8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0" fontId="6" fillId="0" borderId="1" pivotButton="0" quotePrefix="0" xfId="0"/>
    <xf numFmtId="164" fontId="6" fillId="0" borderId="1" pivotButton="0" quotePrefix="0" xfId="0"/>
    <xf numFmtId="0" fontId="0" fillId="5" borderId="1" pivotButton="0" quotePrefix="0" xfId="0"/>
    <xf numFmtId="0" fontId="3" fillId="0" borderId="0" pivotButton="0" quotePrefix="0" xfId="0"/>
    <xf numFmtId="164" fontId="5" fillId="5" borderId="1" pivotButton="0" quotePrefix="0" xfId="0"/>
    <xf numFmtId="164" fontId="6" fillId="0" borderId="0" pivotButton="0" quotePrefix="0" xfId="0"/>
    <xf numFmtId="164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Year 1 Technology Cost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'Summary'!$A$4:$A$7</f>
            </numRef>
          </cat>
          <val>
            <numRef>
              <f>'Summary'!$B$4:$B$7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5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96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</cols>
  <sheetData>
    <row r="2" ht="28" customHeight="1">
      <c r="A2" s="1" t="inlineStr">
        <is>
          <t>YIELD HEALTH — TECHNOLOGY START-UP COSTS</t>
        </is>
      </c>
    </row>
    <row r="4" ht="60" customHeight="1">
      <c r="B4" s="2" t="inlineStr">
        <is>
          <t>This workbook estimates the one-time and recurring technology costs to stand up Yield Health as a company: acquiring the yieldhealth.com domain, business email and Microsoft 365, a HIPAA-compliant phone system, and the cloud infrastructure and tooling needed to build and host the platform.</t>
        </is>
      </c>
    </row>
    <row r="5" ht="15" customHeight="1">
      <c r="B5" s="2" t="inlineStr"/>
    </row>
    <row r="6" ht="15" customHeight="1">
      <c r="B6" s="3" t="inlineStr">
        <is>
          <t>Tabs:</t>
        </is>
      </c>
    </row>
    <row r="7" ht="60" customHeight="1">
      <c r="B7" s="2" t="inlineStr">
        <is>
          <t xml:space="preserve">  Assumptions — seat counts, vendor selections, and pricing inputs behind every line item. Blue text = editable input.</t>
        </is>
      </c>
    </row>
    <row r="8" ht="60" customHeight="1">
      <c r="B8" s="2" t="inlineStr">
        <is>
          <t xml:space="preserve">  Cost Detail — every line item with one-time cost, monthly cost, and annualized cost, grouped by category.</t>
        </is>
      </c>
    </row>
    <row r="9" ht="15" customHeight="1">
      <c r="B9" s="2" t="inlineStr">
        <is>
          <t xml:space="preserve">  Summary — rollup by category, Year 1 total, and a cost-mix chart.</t>
        </is>
      </c>
    </row>
    <row r="10" ht="15" customHeight="1">
      <c r="B10" s="2" t="inlineStr"/>
    </row>
    <row r="11" ht="60" customHeight="1">
      <c r="B11" s="2" t="inlineStr">
        <is>
          <t>Scope note: this workbook covers technology infrastructure and tooling only — domain, email, phone, hosting, and dev/compliance tooling. Engineering and clinical operations headcount costs are tracked separately in the Org &amp; Capital section of the TEAM and PMPM business cases, not duplicated here.</t>
        </is>
      </c>
    </row>
    <row r="12" ht="15" customHeight="1">
      <c r="B12" s="2" t="inlineStr"/>
    </row>
    <row r="13" ht="60" customHeight="1">
      <c r="B13" s="2" t="inlineStr">
        <is>
          <t>How to use it: change any blue cell on the Assumptions tab and the Cost Detail and Summary tabs recalculate.</t>
        </is>
      </c>
    </row>
    <row r="14" ht="15" customHeight="1">
      <c r="B14" s="2" t="inlineStr"/>
    </row>
    <row r="15" ht="60" customHeight="1">
      <c r="B15" s="2" t="inlineStr">
        <is>
          <t>Sourced figures (verified July 2026): GoDaddy Domain Broker Service fee ($119.99 upfront, non-refundable, plus 20% commission on final sale price, godaddy.com/domains/domain-broker). GoDaddy Microsoft 365 Online Business Essentials pricing ($7.99/user/mo introductory, $14.99/user/mo renewal). PanTerra Networks base plan pricing ($17.95/user/mo, native HIPAA/HITECH compliance included at no extra cost). RingCentral RingEX Core pricing ($20/user/mo annual billing; BAA available on request) shown for comparison. HIPAA-compliant cloud hosting range ($300–$5,000+/mo depending on scale, per multiple 2026 HIPAA hosting cost surveys). Drata SOC 2/HIPAA compliance automation entry pricing (from $3,000/yr). The anticipated yieldhealth.com purchase price is a planning estimate based on 2025 secondary-market pricing for two-word brandable .com domains (typically $500–$5,000+), not a quote from the domain's current owner — actual price is subject to the 30-day broker negotiation.</t>
        </is>
      </c>
    </row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selection activeCell="A1" sqref="A1"/>
    </sheetView>
  </sheetViews>
  <sheetFormatPr baseColWidth="8" defaultRowHeight="15" outlineLevelCol="0"/>
  <cols>
    <col width="40" customWidth="1" min="1" max="1"/>
    <col width="16" customWidth="1" min="2" max="2"/>
    <col width="16" customWidth="1" min="3" max="3"/>
    <col width="16" customWidth="1" min="4" max="4"/>
    <col width="3" customWidth="1" min="5" max="5"/>
    <col width="50" customWidth="1" min="6" max="6"/>
  </cols>
  <sheetData>
    <row r="1" ht="24" customHeight="1">
      <c r="A1" s="1" t="inlineStr">
        <is>
          <t>ASSUMPTIONS</t>
        </is>
      </c>
    </row>
    <row r="3" ht="18" customHeight="1">
      <c r="A3" s="4" t="inlineStr">
        <is>
          <t>1. Team Size</t>
        </is>
      </c>
    </row>
    <row r="4">
      <c r="A4" s="5" t="inlineStr">
        <is>
          <t>Input</t>
        </is>
      </c>
      <c r="B4" s="6" t="inlineStr">
        <is>
          <t>Value</t>
        </is>
      </c>
      <c r="C4" s="6" t="inlineStr"/>
      <c r="D4" s="6" t="inlineStr"/>
    </row>
    <row r="5">
      <c r="A5" s="7" t="inlineStr">
        <is>
          <t>Founding team seats (Year 1)</t>
        </is>
      </c>
      <c r="B5" s="8" t="n">
        <v>8</v>
      </c>
    </row>
    <row r="6">
      <c r="A6" s="9" t="inlineStr">
        <is>
          <t>Lean founding team per the TEAM business case: clinical operations lead, data/analytics lead, compliance lead, small enterprise sales function, plus early technical hires. Drives email, Microsoft 365, and phone seat counts below.</t>
        </is>
      </c>
    </row>
    <row r="8" ht="18" customHeight="1">
      <c r="A8" s="4" t="inlineStr">
        <is>
          <t>2. Domain — yieldhealth.com</t>
        </is>
      </c>
    </row>
    <row r="9">
      <c r="A9" s="5" t="inlineStr">
        <is>
          <t>Input</t>
        </is>
      </c>
      <c r="B9" s="6" t="inlineStr">
        <is>
          <t>Value</t>
        </is>
      </c>
      <c r="C9" s="6" t="inlineStr"/>
      <c r="D9" s="6" t="inlineStr"/>
    </row>
    <row r="10">
      <c r="A10" s="7" t="inlineStr">
        <is>
          <t>GoDaddy Domain Broker Service fee (upfront, non-refundable)</t>
        </is>
      </c>
      <c r="B10" s="10" t="n">
        <v>119.99</v>
      </c>
    </row>
    <row r="11">
      <c r="A11" s="7" t="inlineStr">
        <is>
          <t>Anticipated domain purchase price (planning estimate)</t>
        </is>
      </c>
      <c r="B11" s="11" t="n">
        <v>5000</v>
      </c>
    </row>
    <row r="12">
      <c r="A12" s="7" t="inlineStr">
        <is>
          <t>GoDaddy broker commission rate (% of purchase price)</t>
        </is>
      </c>
      <c r="B12" s="12" t="n">
        <v>0.2</v>
      </c>
    </row>
    <row r="13">
      <c r="A13" s="7" t="inlineStr">
        <is>
          <t>Standard .com annual renewal (after acquisition)</t>
        </is>
      </c>
      <c r="B13" s="10" t="n">
        <v>20</v>
      </c>
    </row>
    <row r="14">
      <c r="A14" s="9" t="inlineStr">
        <is>
          <t>Purchase price is a planning estimate, not a quote — two-word brandable .com domains typically resell for $500–$5,000+ depending on the seller. Actual price is set through GoDaddy's 30-day broker negotiation and could land above or below this estimate.</t>
        </is>
      </c>
    </row>
    <row r="16" ht="18" customHeight="1">
      <c r="A16" s="4" t="inlineStr">
        <is>
          <t>3. Email &amp; Microsoft 365 (via GoDaddy)</t>
        </is>
      </c>
    </row>
    <row r="17">
      <c r="A17" s="5" t="inlineStr">
        <is>
          <t>Input</t>
        </is>
      </c>
      <c r="B17" s="6" t="inlineStr">
        <is>
          <t>Value</t>
        </is>
      </c>
      <c r="C17" s="6" t="inlineStr"/>
      <c r="D17" s="6" t="inlineStr"/>
    </row>
    <row r="18">
      <c r="A18" s="7" t="inlineStr">
        <is>
          <t>Plan: Microsoft 365 Online Business Essentials</t>
        </is>
      </c>
    </row>
    <row r="19">
      <c r="A19" s="7" t="inlineStr">
        <is>
          <t>Price per user/month — Year 1 introductory rate</t>
        </is>
      </c>
      <c r="B19" s="10" t="n">
        <v>7.99</v>
      </c>
    </row>
    <row r="20">
      <c r="A20" s="7" t="inlineStr">
        <is>
          <t>Price per user/month — renewal rate (Year 2+)</t>
        </is>
      </c>
      <c r="B20" s="10" t="n">
        <v>14.99</v>
      </c>
    </row>
    <row r="21">
      <c r="A21" s="9" t="inlineStr">
        <is>
          <t>Business Essentials tier includes full Microsoft 365 apps (Word, Excel, PowerPoint, Teams) plus hosted email, not just email-only hosting.</t>
        </is>
      </c>
    </row>
    <row r="23" ht="18" customHeight="1">
      <c r="A23" s="4" t="inlineStr">
        <is>
          <t>4. Phone System — PanTerra Networks (HIPAA-compliant)</t>
        </is>
      </c>
    </row>
    <row r="24">
      <c r="A24" s="5" t="inlineStr">
        <is>
          <t>Input</t>
        </is>
      </c>
      <c r="B24" s="6" t="inlineStr">
        <is>
          <t>Value</t>
        </is>
      </c>
      <c r="C24" s="6" t="inlineStr"/>
      <c r="D24" s="6" t="inlineStr"/>
    </row>
    <row r="25">
      <c r="A25" s="7" t="inlineStr">
        <is>
          <t>Price per user/month (base plan)</t>
        </is>
      </c>
      <c r="B25" s="10" t="n">
        <v>17.95</v>
      </c>
    </row>
    <row r="26">
      <c r="A26" s="9" t="inlineStr">
        <is>
          <t>Selected as the cheapest HIPAA/HITECH-compliant option evaluated: HIPAA compliance is native to every PanTerra plan at no added cost. RingCentral RingEX Core runs $20/user/mo (annual billing) and requires requesting a separate BAA for HIPAA use — shown on the Cost Detail tab for comparison, not selected.</t>
        </is>
      </c>
    </row>
    <row r="28" ht="18" customHeight="1">
      <c r="A28" s="4" t="inlineStr">
        <is>
          <t>5. Platform Infrastructure</t>
        </is>
      </c>
    </row>
    <row r="29">
      <c r="A29" s="5" t="inlineStr">
        <is>
          <t>Input</t>
        </is>
      </c>
      <c r="B29" s="6" t="inlineStr">
        <is>
          <t>Value</t>
        </is>
      </c>
      <c r="C29" s="6" t="inlineStr"/>
      <c r="D29" s="6" t="inlineStr"/>
    </row>
    <row r="30">
      <c r="A30" s="7" t="inlineStr">
        <is>
          <t>HIPAA-compliant cloud hosting (AWS/Azure, signed BAA) — monthly</t>
        </is>
      </c>
      <c r="B30" s="11" t="n">
        <v>750</v>
      </c>
    </row>
    <row r="31">
      <c r="A31" s="7" t="inlineStr">
        <is>
          <t>Dev / staging (non-production) environment — monthly</t>
        </is>
      </c>
      <c r="B31" s="11" t="n">
        <v>250</v>
      </c>
    </row>
    <row r="32">
      <c r="A32" s="7" t="inlineStr">
        <is>
          <t>Source control &amp; project management tooling — monthly</t>
        </is>
      </c>
      <c r="B32" s="11" t="n">
        <v>100</v>
      </c>
    </row>
    <row r="33">
      <c r="A33" s="7" t="inlineStr">
        <is>
          <t>HIPAA/SOC 2 compliance automation platform — annual</t>
        </is>
      </c>
      <c r="B33" s="11" t="n">
        <v>3000</v>
      </c>
    </row>
    <row r="34">
      <c r="A34" s="7" t="inlineStr">
        <is>
          <t>Security monitoring, backup &amp; SSL — monthly</t>
        </is>
      </c>
      <c r="B34" s="11" t="n">
        <v>75</v>
      </c>
    </row>
    <row r="35">
      <c r="A35" s="9" t="inlineStr">
        <is>
          <t>Hosting cost is a Year 1 average — HIPAA-compliant hosting runs $300–$5,000+/mo depending on scale; $750/mo assumes an early-stage MVP ramping over the year. Compliance platform entry tier (e.g., Drata) starts near $3,000/yr; a full external SOC 2 Type II audit ($10,000–$50,000) is treated as a Year 2 milestone once the platform has operating history, and is called out but not included in the Year 1 total below.</t>
        </is>
      </c>
    </row>
    <row r="37">
      <c r="A37" s="9" t="inlineStr">
        <is>
          <t>Row references used by the Cost Detail tab — do not delete rows above without checking Cost Detail formulas.</t>
        </is>
      </c>
    </row>
  </sheetData>
  <mergeCells count="12">
    <mergeCell ref="A1:D1"/>
    <mergeCell ref="A23:D23"/>
    <mergeCell ref="A37:D37"/>
    <mergeCell ref="A8:D8"/>
    <mergeCell ref="A6:D6"/>
    <mergeCell ref="A35:D35"/>
    <mergeCell ref="A3:D3"/>
    <mergeCell ref="A21:D21"/>
    <mergeCell ref="A26:D26"/>
    <mergeCell ref="A16:D16"/>
    <mergeCell ref="A28:D28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 outlineLevelCol="0"/>
  <cols>
    <col width="26" customWidth="1" min="1" max="1"/>
    <col width="46" customWidth="1" min="2" max="2"/>
    <col width="14" customWidth="1" min="3" max="3"/>
    <col width="14" customWidth="1" min="4" max="4"/>
    <col width="16" customWidth="1" min="5" max="5"/>
    <col width="3" customWidth="1" min="6" max="6"/>
    <col width="50" customWidth="1" min="7" max="7"/>
  </cols>
  <sheetData>
    <row r="1" ht="24" customHeight="1">
      <c r="A1" s="1" t="inlineStr">
        <is>
          <t>TECHNOLOGY START-UP COST DETAIL</t>
        </is>
      </c>
    </row>
    <row r="3">
      <c r="A3" s="5" t="inlineStr">
        <is>
          <t>Category</t>
        </is>
      </c>
      <c r="B3" s="6" t="inlineStr">
        <is>
          <t>Item</t>
        </is>
      </c>
      <c r="C3" s="6" t="inlineStr">
        <is>
          <t>One-Time Cost</t>
        </is>
      </c>
      <c r="D3" s="6" t="inlineStr">
        <is>
          <t>Monthly Cost</t>
        </is>
      </c>
      <c r="E3" s="6" t="inlineStr">
        <is>
          <t>Annualized Cost (Yr 1)</t>
        </is>
      </c>
    </row>
    <row r="4">
      <c r="A4" s="13" t="inlineStr">
        <is>
          <t>Domain</t>
        </is>
      </c>
      <c r="B4" s="13" t="inlineStr">
        <is>
          <t>GoDaddy Domain Broker Service fee (upfront)</t>
        </is>
      </c>
      <c r="C4" s="14">
        <f>Assumptions!B10</f>
        <v/>
      </c>
      <c r="D4" s="14" t="n">
        <v>0</v>
      </c>
      <c r="E4" s="14" t="n">
        <v>0</v>
      </c>
    </row>
    <row r="5">
      <c r="A5" s="13" t="inlineStr">
        <is>
          <t>Domain</t>
        </is>
      </c>
      <c r="B5" s="13" t="inlineStr">
        <is>
          <t>Anticipated yieldhealth.com purchase price</t>
        </is>
      </c>
      <c r="C5" s="14">
        <f>Assumptions!B11</f>
        <v/>
      </c>
      <c r="D5" s="14" t="n">
        <v>0</v>
      </c>
      <c r="E5" s="14" t="n">
        <v>0</v>
      </c>
    </row>
    <row r="6">
      <c r="A6" s="13" t="inlineStr">
        <is>
          <t>Domain</t>
        </is>
      </c>
      <c r="B6" s="13" t="inlineStr">
        <is>
          <t>GoDaddy broker commission (20% of purchase price)</t>
        </is>
      </c>
      <c r="C6" s="14">
        <f>Assumptions!B11*Assumptions!B12</f>
        <v/>
      </c>
      <c r="D6" s="14" t="n">
        <v>0</v>
      </c>
      <c r="E6" s="14" t="n">
        <v>0</v>
      </c>
    </row>
    <row r="7">
      <c r="A7" s="13" t="inlineStr">
        <is>
          <t>Domain</t>
        </is>
      </c>
      <c r="B7" s="13" t="inlineStr">
        <is>
          <t>Standard .com annual renewal</t>
        </is>
      </c>
      <c r="C7" s="14" t="n">
        <v>0</v>
      </c>
      <c r="D7" s="14" t="n">
        <v>0</v>
      </c>
      <c r="E7" s="14">
        <f>Assumptions!B13</f>
        <v/>
      </c>
    </row>
    <row r="8">
      <c r="A8" s="13" t="inlineStr">
        <is>
          <t>Email / Microsoft 365</t>
        </is>
      </c>
      <c r="B8" s="13" t="inlineStr">
        <is>
          <t>Microsoft 365 Business Essentials, founding team seats, Yr 1 intro rate</t>
        </is>
      </c>
      <c r="C8" s="14" t="n">
        <v>0</v>
      </c>
      <c r="D8" s="14">
        <f>Assumptions!B5*Assumptions!B19</f>
        <v/>
      </c>
      <c r="E8" s="14">
        <f>D8*12</f>
        <v/>
      </c>
    </row>
    <row r="9">
      <c r="A9" s="13" t="inlineStr">
        <is>
          <t>Phone System</t>
        </is>
      </c>
      <c r="B9" s="13" t="inlineStr">
        <is>
          <t>PanTerra Networks (HIPAA-compliant), selected</t>
        </is>
      </c>
      <c r="C9" s="14" t="n">
        <v>0</v>
      </c>
      <c r="D9" s="14">
        <f>Assumptions!B5*Assumptions!B25</f>
        <v/>
      </c>
      <c r="E9" s="14">
        <f>D9*12</f>
        <v/>
      </c>
    </row>
    <row r="10">
      <c r="A10" s="13" t="inlineStr">
        <is>
          <t>Platform Infrastructure</t>
        </is>
      </c>
      <c r="B10" s="13" t="inlineStr">
        <is>
          <t>HIPAA-compliant cloud hosting (AWS/Azure, BAA)</t>
        </is>
      </c>
      <c r="C10" s="14" t="n">
        <v>0</v>
      </c>
      <c r="D10" s="14">
        <f>Assumptions!B30</f>
        <v/>
      </c>
      <c r="E10" s="14">
        <f>D10*12</f>
        <v/>
      </c>
    </row>
    <row r="11">
      <c r="A11" s="13" t="inlineStr">
        <is>
          <t>Platform Infrastructure</t>
        </is>
      </c>
      <c r="B11" s="13" t="inlineStr">
        <is>
          <t>Dev / staging environment</t>
        </is>
      </c>
      <c r="C11" s="14" t="n">
        <v>0</v>
      </c>
      <c r="D11" s="14">
        <f>Assumptions!B31</f>
        <v/>
      </c>
      <c r="E11" s="14">
        <f>D11*12</f>
        <v/>
      </c>
    </row>
    <row r="12">
      <c r="A12" s="13" t="inlineStr">
        <is>
          <t>Platform Infrastructure</t>
        </is>
      </c>
      <c r="B12" s="13" t="inlineStr">
        <is>
          <t>Source control &amp; project management tooling</t>
        </is>
      </c>
      <c r="C12" s="14" t="n">
        <v>0</v>
      </c>
      <c r="D12" s="14">
        <f>Assumptions!B32</f>
        <v/>
      </c>
      <c r="E12" s="14">
        <f>D12*12</f>
        <v/>
      </c>
    </row>
    <row r="13">
      <c r="A13" s="13" t="inlineStr">
        <is>
          <t>Platform Infrastructure</t>
        </is>
      </c>
      <c r="B13" s="13" t="inlineStr">
        <is>
          <t>HIPAA / SOC 2 compliance automation platform</t>
        </is>
      </c>
      <c r="C13" s="14" t="n">
        <v>0</v>
      </c>
      <c r="D13" s="14">
        <f>Assumptions!B33/12</f>
        <v/>
      </c>
      <c r="E13" s="14">
        <f>Assumptions!B33</f>
        <v/>
      </c>
    </row>
    <row r="14">
      <c r="A14" s="13" t="inlineStr">
        <is>
          <t>Platform Infrastructure</t>
        </is>
      </c>
      <c r="B14" s="13" t="inlineStr">
        <is>
          <t>Security monitoring, backup &amp; SSL</t>
        </is>
      </c>
      <c r="C14" s="14" t="n">
        <v>0</v>
      </c>
      <c r="D14" s="14">
        <f>Assumptions!B34</f>
        <v/>
      </c>
      <c r="E14" s="14">
        <f>D14*12</f>
        <v/>
      </c>
    </row>
    <row r="16">
      <c r="A16" s="15" t="n"/>
      <c r="B16" s="16" t="inlineStr">
        <is>
          <t>YEAR 1 TOTAL</t>
        </is>
      </c>
      <c r="C16" s="17">
        <f>SUM(C4:C14)</f>
        <v/>
      </c>
      <c r="D16" s="17">
        <f>SUM(D4:D14)</f>
        <v/>
      </c>
      <c r="E16" s="17">
        <f>SUM(E4:E14)</f>
        <v/>
      </c>
    </row>
    <row r="17">
      <c r="B17" s="16" t="inlineStr">
        <is>
          <t>Grand total (one-time + Year 1 annualized recurring)</t>
        </is>
      </c>
      <c r="E17" s="17">
        <f>C16+E16</f>
        <v/>
      </c>
    </row>
    <row r="19" ht="18" customHeight="1">
      <c r="A19" s="4" t="inlineStr">
        <is>
          <t>Alternative considered — not selected</t>
        </is>
      </c>
    </row>
    <row r="21">
      <c r="A21" s="5" t="inlineStr">
        <is>
          <t>Category</t>
        </is>
      </c>
      <c r="B21" s="6" t="inlineStr">
        <is>
          <t>Item</t>
        </is>
      </c>
      <c r="C21" s="6" t="inlineStr">
        <is>
          <t>One-Time Cost</t>
        </is>
      </c>
      <c r="D21" s="6" t="inlineStr">
        <is>
          <t>Monthly Cost</t>
        </is>
      </c>
      <c r="E21" s="6" t="inlineStr">
        <is>
          <t>Annualized Cost</t>
        </is>
      </c>
    </row>
    <row r="22">
      <c r="A22" s="13" t="inlineStr">
        <is>
          <t>Phone System (alt.)</t>
        </is>
      </c>
      <c r="B22" s="13" t="inlineStr">
        <is>
          <t>RingCentral RingEX Core, annual billing — requires separate BAA request for HIPAA use</t>
        </is>
      </c>
      <c r="C22" s="14" t="n">
        <v>0</v>
      </c>
      <c r="D22" s="14">
        <f>Assumptions!B5*20</f>
        <v/>
      </c>
      <c r="E22" s="14">
        <f>D22*12</f>
        <v/>
      </c>
    </row>
    <row r="23">
      <c r="A23" s="9" t="inlineStr">
        <is>
          <t>Shown for comparison only; excluded from the Year 1 total above. PanTerra was selected because HIPAA/HITECH compliance is native to its base plan at no added cost, while RingCentral requires requesting a BAA separately and its comparable HIPAA-ready tier runs at or above this Core prod pricing.</t>
        </is>
      </c>
    </row>
  </sheetData>
  <mergeCells count="3">
    <mergeCell ref="A1:E1"/>
    <mergeCell ref="A23:E23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" customWidth="1" min="3" max="3"/>
    <col width="3" customWidth="1" min="4" max="4"/>
  </cols>
  <sheetData>
    <row r="1" ht="24" customHeight="1">
      <c r="A1" s="1" t="inlineStr">
        <is>
          <t>YEAR 1 TECHNOLOGY COST SUMMARY</t>
        </is>
      </c>
    </row>
    <row r="3">
      <c r="A3" s="5" t="inlineStr">
        <is>
          <t>Category</t>
        </is>
      </c>
      <c r="B3" s="6" t="inlineStr">
        <is>
          <t>Year 1 Cost</t>
        </is>
      </c>
    </row>
    <row r="4">
      <c r="A4" s="7" t="inlineStr">
        <is>
          <t>Domain</t>
        </is>
      </c>
      <c r="B4" s="18">
        <f>SUMIF('Cost Detail'!$A$4:$A$14,A4,'Cost Detail'!$C$4:$C$14)+SUMIF('Cost Detail'!$A$4:$A$14,A4,'Cost Detail'!$E$4:$E$14)</f>
        <v/>
      </c>
    </row>
    <row r="5">
      <c r="A5" s="7" t="inlineStr">
        <is>
          <t>Email / Microsoft 365</t>
        </is>
      </c>
      <c r="B5" s="18">
        <f>SUMIF('Cost Detail'!$A$4:$A$14,A5,'Cost Detail'!$C$4:$C$14)+SUMIF('Cost Detail'!$A$4:$A$14,A5,'Cost Detail'!$E$4:$E$14)</f>
        <v/>
      </c>
    </row>
    <row r="6">
      <c r="A6" s="7" t="inlineStr">
        <is>
          <t>Phone System</t>
        </is>
      </c>
      <c r="B6" s="18">
        <f>SUMIF('Cost Detail'!$A$4:$A$14,A6,'Cost Detail'!$C$4:$C$14)+SUMIF('Cost Detail'!$A$4:$A$14,A6,'Cost Detail'!$E$4:$E$14)</f>
        <v/>
      </c>
    </row>
    <row r="7">
      <c r="A7" s="7" t="inlineStr">
        <is>
          <t>Platform Infrastructure</t>
        </is>
      </c>
      <c r="B7" s="18">
        <f>SUMIF('Cost Detail'!$A$4:$A$14,A7,'Cost Detail'!$C$4:$C$14)+SUMIF('Cost Detail'!$A$4:$A$14,A7,'Cost Detail'!$E$4:$E$14)</f>
        <v/>
      </c>
    </row>
    <row r="8">
      <c r="A8" s="16" t="inlineStr">
        <is>
          <t>GRAND TOTAL — YEAR 1</t>
        </is>
      </c>
      <c r="B8" s="19">
        <f>SUM(B4:B7)</f>
        <v/>
      </c>
    </row>
    <row r="10">
      <c r="A10" s="9" t="inlineStr">
        <is>
          <t>"Year 1 Cost" = one-time costs (domain broker fee, purchase price, commission) plus twelve months of every recurring line item — the total cash a new company should plan to have available for technology in its first year, before engineering/clinical headcount.</t>
        </is>
      </c>
    </row>
    <row r="13">
      <c r="A13" s="16" t="inlineStr">
        <is>
          <t>Cost Mix by Category</t>
        </is>
      </c>
    </row>
  </sheetData>
  <mergeCells count="2">
    <mergeCell ref="A10:B10"/>
    <mergeCell ref="A1:B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2026-07-29T17:21:13Z</dcterms:created>
  <dcterms:modified xmlns:dcterms="http://purl.org/dc/terms/" xmlns:xsi="http://www.w3.org/2001/XMLSchema-instance" xsi:type="dcterms:W3CDTF">2026-07-29T17:21:13Z</dcterms:modified>
</cp:coreProperties>
</file>