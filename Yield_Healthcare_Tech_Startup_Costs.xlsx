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Cost Detai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<sst xmlns="http://schemas.openxmlformats.org/spreadsheetml/2006/main" count="102" uniqueCount="72">
  <si>
    <t xml:space="preserve">YIELD HEALTHCARE — TECHNOLOGY START-UP COSTS</t>
  </si>
  <si>
    <t xml:space="preserve">This workbook estimates the one-time and recurring technology costs to stand up Yield Healthcare as a company: acquiring the yieldhealthcare.com domain, business email and Microsoft 365, a HIPAA-compliant phone system, and the cloud infrastructure and tooling needed to build and host the platform.</t>
  </si>
  <si>
    <t xml:space="preserve">Tabs:</t>
  </si>
  <si>
    <t xml:space="preserve">  Assumptions — seat counts, vendor selections, and pricing inputs behind every line item. Blue text = editable input.</t>
  </si>
  <si>
    <t xml:space="preserve">  Cost Detail — every line item with one-time cost, monthly cost, and annualized cost, grouped by category.</t>
  </si>
  <si>
    <t xml:space="preserve">  Summary — rollup by category, Year 1 total, and a cost-mix chart.</t>
  </si>
  <si>
    <t xml:space="preserve">Scope note: this workbook covers technology infrastructure and tooling only — domain, email, phone, hosting, and dev/compliance tooling. Engineering and clinical operations headcount costs are tracked separately in the Org &amp; Capital section of the TEAM and PMPM business cases, not duplicated here.</t>
  </si>
  <si>
    <t xml:space="preserve">How to use it: change any blue cell on the Assumptions tab and the Cost Detail and Summary tabs recalculate.</t>
  </si>
  <si>
    <t xml:space="preserve">Sourced figures (verified July 2026): GoDaddy Domain Broker Service fee ($119.99 upfront, non-refundable, plus 20% commission on final sale price, godaddy.com/domains/domain-broker). GoDaddy Microsoft 365 Online Business Essentials pricing ($7.99/user/mo introductory, $14.99/user/mo renewal). PanTerra Networks base plan pricing ($17.95/user/mo, native HIPAA/HITECH compliance included at no extra cost). RingCentral RingEX Core pricing ($20/user/mo annual billing; BAA available on request) shown for comparison. HIPAA-compliant cloud hosting range ($300–$5,000+/mo depending on scale, per multiple 2026 HIPAA hosting cost surveys). Drata SOC 2/HIPAA compliance automation entry pricing (from $3,000/yr). The anticipated yieldhealthcare.com purchase price is a planning estimate based on 2025 secondary-market pricing for two-word brandable .com domains (typically $500–$5,000+), not a quote from the domain's current owner — actual price is subject to the 30-day broker negotiation.</t>
  </si>
  <si>
    <t xml:space="preserve">ASSUMPTIONS</t>
  </si>
  <si>
    <t xml:space="preserve">1. Team Size</t>
  </si>
  <si>
    <t xml:space="preserve">Input</t>
  </si>
  <si>
    <t xml:space="preserve">Value</t>
  </si>
  <si>
    <t xml:space="preserve">Founding team seats (Year 1)</t>
  </si>
  <si>
    <t xml:space="preserve">Lean founding team per the TEAM business case: clinical operations lead, data/analytics lead, compliance lead, small enterprise sales function, plus early technical hires. Drives email, Microsoft 365, and phone seat counts below.</t>
  </si>
  <si>
    <t xml:space="preserve">2. Domain — yieldhealthcare.com</t>
  </si>
  <si>
    <t xml:space="preserve">GoDaddy Domain Broker Service fee (upfront, non-refundable)</t>
  </si>
  <si>
    <t xml:space="preserve">Anticipated domain purchase price (planning estimate)</t>
  </si>
  <si>
    <t xml:space="preserve">GoDaddy broker commission rate (% of purchase price)</t>
  </si>
  <si>
    <t xml:space="preserve">Standard .com annual renewal (after acquisition)</t>
  </si>
  <si>
    <t xml:space="preserve">Purchase price is a planning estimate, not a quote — two-word brandable .com domains typically resell for $500–$5,000+ depending on the seller. Actual price is set through GoDaddy's 30-day broker negotiation and could land above or below this estimate.</t>
  </si>
  <si>
    <t xml:space="preserve">3. Email &amp; Microsoft 365 (via GoDaddy)</t>
  </si>
  <si>
    <t xml:space="preserve">Plan: Microsoft 365 Online Business Essentials</t>
  </si>
  <si>
    <t xml:space="preserve">Price per user/month — Year 1 introductory rate</t>
  </si>
  <si>
    <t xml:space="preserve">Price per user/month — renewal rate (Year 2+)</t>
  </si>
  <si>
    <t xml:space="preserve">Business Essentials tier includes full Microsoft 365 apps (Word, Excel, PowerPoint, Teams) plus hosted email, not just email-only hosting.</t>
  </si>
  <si>
    <t xml:space="preserve">4. Phone System — PanTerra Networks (HIPAA-compliant)</t>
  </si>
  <si>
    <t xml:space="preserve">Price per user/month (base plan)</t>
  </si>
  <si>
    <t xml:space="preserve">Selected as the cheapest HIPAA/HITECH-compliant option evaluated: HIPAA compliance is native to every PanTerra plan at no added cost. RingCentral RingEX Core runs $20/user/mo (annual billing) and requires requesting a separate BAA for HIPAA use — shown on the Cost Detail tab for comparison, not selected.</t>
  </si>
  <si>
    <t xml:space="preserve">5. Platform Infrastructure</t>
  </si>
  <si>
    <t xml:space="preserve">HIPAA-compliant cloud hosting (AWS/Azure, signed BAA) — monthly</t>
  </si>
  <si>
    <t xml:space="preserve">Dev / staging (non-production) environment — monthly</t>
  </si>
  <si>
    <t xml:space="preserve">Source control &amp; project management tooling — monthly</t>
  </si>
  <si>
    <t xml:space="preserve">HIPAA/SOC 2 compliance automation platform — annual</t>
  </si>
  <si>
    <t xml:space="preserve">Security monitoring, backup &amp; SSL — monthly</t>
  </si>
  <si>
    <t xml:space="preserve">Hosting cost is a Year 1 average — HIPAA-compliant hosting runs $300–$5,000+/mo depending on scale; $750/mo assumes an early-stage MVP ramping over the year. Compliance platform entry tier (e.g., Drata) starts near $3,000/yr; a full external SOC 2 Type II audit ($10,000–$50,000) is treated as a Year 2 milestone once the platform has operating history, and is called out but not included in the Year 1 total below.</t>
  </si>
  <si>
    <t xml:space="preserve">Row references used by the Cost Detail tab — do not delete rows above without checking Cost Detail formulas.</t>
  </si>
  <si>
    <t xml:space="preserve">TECHNOLOGY START-UP COST DETAIL</t>
  </si>
  <si>
    <t xml:space="preserve">Category</t>
  </si>
  <si>
    <t xml:space="preserve">Item</t>
  </si>
  <si>
    <t xml:space="preserve">One-Time Cost</t>
  </si>
  <si>
    <t xml:space="preserve">Monthly Cost</t>
  </si>
  <si>
    <t xml:space="preserve">Annualized Cost (Yr 1)</t>
  </si>
  <si>
    <t xml:space="preserve">Domain</t>
  </si>
  <si>
    <t xml:space="preserve">GoDaddy Domain Broker Service fee (upfront)</t>
  </si>
  <si>
    <t xml:space="preserve">Anticipated yieldhealthcare.com purchase price</t>
  </si>
  <si>
    <t xml:space="preserve">GoDaddy broker commission (20% of purchase price)</t>
  </si>
  <si>
    <t xml:space="preserve">Standard .com annual renewal</t>
  </si>
  <si>
    <t xml:space="preserve">Email / Microsoft 365</t>
  </si>
  <si>
    <t xml:space="preserve">Microsoft 365 Business Essentials, founding team seats, Yr 1 intro rate</t>
  </si>
  <si>
    <t xml:space="preserve">Phone System</t>
  </si>
  <si>
    <t xml:space="preserve">PanTerra Networks (HIPAA-compliant), selected</t>
  </si>
  <si>
    <t xml:space="preserve">Platform Infrastructure</t>
  </si>
  <si>
    <t xml:space="preserve">HIPAA-compliant cloud hosting (AWS/Azure, BAA)</t>
  </si>
  <si>
    <t xml:space="preserve">Dev / staging environment</t>
  </si>
  <si>
    <t xml:space="preserve">Source control &amp; project management tooling</t>
  </si>
  <si>
    <t xml:space="preserve">HIPAA / SOC 2 compliance automation platform</t>
  </si>
  <si>
    <t xml:space="preserve">Security monitoring, backup &amp; SSL</t>
  </si>
  <si>
    <t xml:space="preserve">YEAR 1 TOTAL</t>
  </si>
  <si>
    <t xml:space="preserve">Grand total (one-time + Year 1 annualized recurring)</t>
  </si>
  <si>
    <t xml:space="preserve">Alternative considered — not selected</t>
  </si>
  <si>
    <t xml:space="preserve">Annualized Cost</t>
  </si>
  <si>
    <t xml:space="preserve">Phone System (alt.)</t>
  </si>
  <si>
    <t xml:space="preserve">RingCentral RingEX Core, annual billing — requires separate BAA request for HIPAA use</t>
  </si>
  <si>
    <t xml:space="preserve">Shown for comparison only; excluded from the Year 1 total above. PanTerra was selected because HIPAA/HITECH compliance is native to its base plan at no added cost, while RingCentral requires requesting a BAA separately and its comparable HIPAA-ready tier runs at or above this Core prod pricing.</t>
  </si>
  <si>
    <t xml:space="preserve">YEAR 1 TECHNOLOGY COST SUMMARY</t>
  </si>
  <si>
    <t xml:space="preserve">Year 1 Cost</t>
  </si>
  <si>
    <t xml:space="preserve">GRAND TOTAL — YEAR 1</t>
  </si>
  <si>
    <t xml:space="preserve">"Year 1 Cost" = one-time costs (domain broker fee, purchase price, commission) plus twelve months of every recurring line item — the total cash a new company should plan to have available for technology in its first year, before engineering/clinical headcount.</t>
  </si>
  <si>
    <t xml:space="preserve">Cost Mix by Category</t>
  </si>
  <si>
    <t xml:space="preserve">% of Total</t>
  </si>
  <si>
    <t xml:space="preserve">Cost Mix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</si>
</sst>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;&quot;($&quot;#,##0.00\);\-"/>
    <numFmt numFmtId="167" formatCode="\$#,##0;&quot;($&quot;#,##0\);\-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4B3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1E4B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4B3A"/>
        <bgColor rgb="FF003366"/>
      </patternFill>
    </fill>
    <fill>
      <patternFill patternType="solid">
        <fgColor rgb="FF8FA687"/>
        <bgColor rgb="FF808080"/>
      </patternFill>
    </fill>
    <fill>
      <patternFill patternType="solid">
        <fgColor rgb="FFF2F2F2"/>
        <bgColor rgb="FFE3EEE9"/>
      </patternFill>
    </fill>
    <fill>
      <patternFill patternType="solid">
        <fgColor rgb="FFE3EEE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3EE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A687"/>
      <rgbColor rgb="FF003366"/>
      <rgbColor rgb="FF339966"/>
      <rgbColor rgb="FF003300"/>
      <rgbColor rgb="FF333300"/>
      <rgbColor rgb="FF993300"/>
      <rgbColor rgb="FF993366"/>
      <rgbColor rgb="FF333399"/>
      <rgbColor rgb="FF1E4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"/>
    <col collapsed="false" customWidth="true" hidden="false" outlineLevel="0" max="7" min="3" style="0" width="3"/>
  </cols>
  <sheetData>
    <row r="2" customFormat="false" ht="27.75" hidden="false" customHeight="true" outlineLevel="0" collapsed="false">
      <c r="A2" s="1" t="s">
        <v>0</v>
      </c>
      <c r="B2" s="1"/>
    </row>
    <row r="4" customFormat="false" ht="60" hidden="false" customHeight="true" outlineLevel="0" collapsed="false">
      <c r="B4" s="2" t="s">
        <v>1</v>
      </c>
    </row>
    <row r="5" customFormat="false" ht="15" hidden="false" customHeight="true" outlineLevel="0" collapsed="false">
      <c r="B5" s="2"/>
    </row>
    <row r="6" customFormat="false" ht="15" hidden="false" customHeight="true" outlineLevel="0" collapsed="false">
      <c r="B6" s="3" t="s">
        <v>2</v>
      </c>
    </row>
    <row r="7" customFormat="false" ht="60" hidden="false" customHeight="true" outlineLevel="0" collapsed="false">
      <c r="B7" s="2" t="s">
        <v>3</v>
      </c>
    </row>
    <row r="8" customFormat="false" ht="60" hidden="false" customHeight="true" outlineLevel="0" collapsed="false">
      <c r="B8" s="2" t="s">
        <v>4</v>
      </c>
    </row>
    <row r="9" customFormat="false" ht="15" hidden="false" customHeight="true" outlineLevel="0" collapsed="false">
      <c r="B9" s="2" t="s">
        <v>5</v>
      </c>
    </row>
    <row r="10" customFormat="false" ht="15" hidden="false" customHeight="true" outlineLevel="0" collapsed="false">
      <c r="B10" s="2"/>
    </row>
    <row r="11" customFormat="false" ht="60" hidden="false" customHeight="true" outlineLevel="0" collapsed="false">
      <c r="B11" s="2" t="s">
        <v>6</v>
      </c>
    </row>
    <row r="12" customFormat="false" ht="15" hidden="false" customHeight="true" outlineLevel="0" collapsed="false">
      <c r="B12" s="2"/>
    </row>
    <row r="13" customFormat="false" ht="60" hidden="false" customHeight="true" outlineLevel="0" collapsed="false">
      <c r="B13" s="2" t="s">
        <v>7</v>
      </c>
    </row>
    <row r="14" customFormat="false" ht="15" hidden="false" customHeight="true" outlineLevel="0" collapsed="false">
      <c r="B14" s="2"/>
    </row>
    <row r="15" customFormat="false" ht="60" hidden="false" customHeight="true" outlineLevel="0" collapsed="false">
      <c r="B15" s="2" t="s">
        <v>8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50"/>
  </cols>
  <sheetData>
    <row r="1" customFormat="false" ht="24" hidden="false" customHeight="true" outlineLevel="0" collapsed="false">
      <c r="A1" s="1" t="s">
        <v>9</v>
      </c>
      <c r="B1" s="1"/>
      <c r="C1" s="1"/>
      <c r="D1" s="1"/>
    </row>
    <row r="3" customFormat="false" ht="18" hidden="false" customHeight="true" outlineLevel="0" collapsed="false">
      <c r="A3" s="4" t="s">
        <v>10</v>
      </c>
      <c r="B3" s="4"/>
      <c r="C3" s="4"/>
      <c r="D3" s="4"/>
    </row>
    <row r="4" customFormat="false" ht="15" hidden="false" customHeight="false" outlineLevel="0" collapsed="false">
      <c r="A4" s="5" t="s">
        <v>11</v>
      </c>
      <c r="B4" s="6" t="s">
        <v>12</v>
      </c>
      <c r="C4" s="6"/>
      <c r="D4" s="6"/>
    </row>
    <row r="5" customFormat="false" ht="15" hidden="false" customHeight="false" outlineLevel="0" collapsed="false">
      <c r="A5" s="7" t="s">
        <v>13</v>
      </c>
      <c r="B5" s="8" t="n">
        <v>8</v>
      </c>
    </row>
    <row r="6" customFormat="false" ht="19.4" hidden="false" customHeight="true" outlineLevel="0" collapsed="false">
      <c r="A6" s="9" t="s">
        <v>14</v>
      </c>
      <c r="B6" s="9"/>
      <c r="C6" s="9"/>
      <c r="D6" s="9"/>
    </row>
    <row r="8" customFormat="false" ht="18" hidden="false" customHeight="true" outlineLevel="0" collapsed="false">
      <c r="A8" s="4" t="s">
        <v>15</v>
      </c>
      <c r="B8" s="4"/>
      <c r="C8" s="4"/>
      <c r="D8" s="4"/>
    </row>
    <row r="9" customFormat="false" ht="15" hidden="false" customHeight="false" outlineLevel="0" collapsed="false">
      <c r="A9" s="5" t="s">
        <v>11</v>
      </c>
      <c r="B9" s="6" t="s">
        <v>12</v>
      </c>
      <c r="C9" s="6"/>
      <c r="D9" s="6"/>
    </row>
    <row r="10" customFormat="false" ht="15" hidden="false" customHeight="false" outlineLevel="0" collapsed="false">
      <c r="A10" s="7" t="s">
        <v>16</v>
      </c>
      <c r="B10" s="10" t="n">
        <v>119.99</v>
      </c>
    </row>
    <row r="11" customFormat="false" ht="15" hidden="false" customHeight="false" outlineLevel="0" collapsed="false">
      <c r="A11" s="7" t="s">
        <v>17</v>
      </c>
      <c r="B11" s="11" t="n">
        <v>5000</v>
      </c>
    </row>
    <row r="12" customFormat="false" ht="15" hidden="false" customHeight="false" outlineLevel="0" collapsed="false">
      <c r="A12" s="7" t="s">
        <v>18</v>
      </c>
      <c r="B12" s="12" t="n">
        <v>0.2</v>
      </c>
    </row>
    <row r="13" customFormat="false" ht="15" hidden="false" customHeight="false" outlineLevel="0" collapsed="false">
      <c r="A13" s="7" t="s">
        <v>19</v>
      </c>
      <c r="B13" s="10" t="n">
        <v>20</v>
      </c>
    </row>
    <row r="14" customFormat="false" ht="28.35" hidden="false" customHeight="true" outlineLevel="0" collapsed="false">
      <c r="A14" s="9" t="s">
        <v>20</v>
      </c>
      <c r="B14" s="9"/>
      <c r="C14" s="9"/>
      <c r="D14" s="9"/>
    </row>
    <row r="16" customFormat="false" ht="18" hidden="false" customHeight="true" outlineLevel="0" collapsed="false">
      <c r="A16" s="4" t="s">
        <v>21</v>
      </c>
      <c r="B16" s="4"/>
      <c r="C16" s="4"/>
      <c r="D16" s="4"/>
    </row>
    <row r="17" customFormat="false" ht="15" hidden="false" customHeight="false" outlineLevel="0" collapsed="false">
      <c r="A17" s="5" t="s">
        <v>11</v>
      </c>
      <c r="B17" s="6" t="s">
        <v>12</v>
      </c>
      <c r="C17" s="6"/>
      <c r="D17" s="6"/>
    </row>
    <row r="18" customFormat="false" ht="15" hidden="false" customHeight="false" outlineLevel="0" collapsed="false">
      <c r="A18" s="7" t="s">
        <v>22</v>
      </c>
    </row>
    <row r="19" customFormat="false" ht="15" hidden="false" customHeight="false" outlineLevel="0" collapsed="false">
      <c r="A19" s="7" t="s">
        <v>23</v>
      </c>
      <c r="B19" s="10" t="n">
        <v>7.99</v>
      </c>
    </row>
    <row r="20" customFormat="false" ht="15" hidden="false" customHeight="false" outlineLevel="0" collapsed="false">
      <c r="A20" s="7" t="s">
        <v>24</v>
      </c>
      <c r="B20" s="10" t="n">
        <v>14.99</v>
      </c>
    </row>
    <row r="21" customFormat="false" ht="19.4" hidden="false" customHeight="true" outlineLevel="0" collapsed="false">
      <c r="A21" s="9" t="s">
        <v>25</v>
      </c>
      <c r="B21" s="9"/>
      <c r="C21" s="9"/>
      <c r="D21" s="9"/>
    </row>
    <row r="23" customFormat="false" ht="18" hidden="false" customHeight="true" outlineLevel="0" collapsed="false">
      <c r="A23" s="4" t="s">
        <v>26</v>
      </c>
      <c r="B23" s="4"/>
      <c r="C23" s="4"/>
      <c r="D23" s="4"/>
    </row>
    <row r="24" customFormat="false" ht="15" hidden="false" customHeight="false" outlineLevel="0" collapsed="false">
      <c r="A24" s="5" t="s">
        <v>11</v>
      </c>
      <c r="B24" s="6" t="s">
        <v>12</v>
      </c>
      <c r="C24" s="6"/>
      <c r="D24" s="6"/>
    </row>
    <row r="25" customFormat="false" ht="15" hidden="false" customHeight="false" outlineLevel="0" collapsed="false">
      <c r="A25" s="7" t="s">
        <v>27</v>
      </c>
      <c r="B25" s="10" t="n">
        <v>17.95</v>
      </c>
    </row>
    <row r="26" customFormat="false" ht="28.35" hidden="false" customHeight="true" outlineLevel="0" collapsed="false">
      <c r="A26" s="9" t="s">
        <v>28</v>
      </c>
      <c r="B26" s="9"/>
      <c r="C26" s="9"/>
      <c r="D26" s="9"/>
    </row>
    <row r="28" customFormat="false" ht="18" hidden="false" customHeight="true" outlineLevel="0" collapsed="false">
      <c r="A28" s="4" t="s">
        <v>29</v>
      </c>
      <c r="B28" s="4"/>
      <c r="C28" s="4"/>
      <c r="D28" s="4"/>
    </row>
    <row r="29" customFormat="false" ht="15" hidden="false" customHeight="false" outlineLevel="0" collapsed="false">
      <c r="A29" s="5" t="s">
        <v>11</v>
      </c>
      <c r="B29" s="6" t="s">
        <v>12</v>
      </c>
      <c r="C29" s="6"/>
      <c r="D29" s="6"/>
    </row>
    <row r="30" customFormat="false" ht="15" hidden="false" customHeight="false" outlineLevel="0" collapsed="false">
      <c r="A30" s="7" t="s">
        <v>30</v>
      </c>
      <c r="B30" s="11" t="n">
        <v>750</v>
      </c>
    </row>
    <row r="31" customFormat="false" ht="15" hidden="false" customHeight="false" outlineLevel="0" collapsed="false">
      <c r="A31" s="7" t="s">
        <v>31</v>
      </c>
      <c r="B31" s="11" t="n">
        <v>250</v>
      </c>
    </row>
    <row r="32" customFormat="false" ht="15" hidden="false" customHeight="false" outlineLevel="0" collapsed="false">
      <c r="A32" s="7" t="s">
        <v>32</v>
      </c>
      <c r="B32" s="11" t="n">
        <v>100</v>
      </c>
    </row>
    <row r="33" customFormat="false" ht="15" hidden="false" customHeight="false" outlineLevel="0" collapsed="false">
      <c r="A33" s="7" t="s">
        <v>33</v>
      </c>
      <c r="B33" s="11" t="n">
        <v>3000</v>
      </c>
    </row>
    <row r="34" customFormat="false" ht="15" hidden="false" customHeight="false" outlineLevel="0" collapsed="false">
      <c r="A34" s="7" t="s">
        <v>34</v>
      </c>
      <c r="B34" s="11" t="n">
        <v>75</v>
      </c>
    </row>
    <row r="35" customFormat="false" ht="37.3" hidden="false" customHeight="true" outlineLevel="0" collapsed="false">
      <c r="A35" s="9" t="s">
        <v>35</v>
      </c>
      <c r="B35" s="9"/>
      <c r="C35" s="9"/>
      <c r="D35" s="9"/>
    </row>
    <row r="37" customFormat="false" ht="15" hidden="false" customHeight="true" outlineLevel="0" collapsed="false">
      <c r="A37" s="9" t="s">
        <v>36</v>
      </c>
      <c r="B37" s="9"/>
      <c r="C37" s="9"/>
      <c r="D37" s="9"/>
    </row>
  </sheetData>
  <mergeCells count="12">
    <mergeCell ref="A1:D1"/>
    <mergeCell ref="A3:D3"/>
    <mergeCell ref="A6:D6"/>
    <mergeCell ref="A8:D8"/>
    <mergeCell ref="A14:D14"/>
    <mergeCell ref="A16:D16"/>
    <mergeCell ref="A21:D21"/>
    <mergeCell ref="A23:D23"/>
    <mergeCell ref="A26:D26"/>
    <mergeCell ref="A28:D28"/>
    <mergeCell ref="A35:D35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" t="s">
        <v>37</v>
      </c>
      <c r="B1" s="1"/>
      <c r="C1" s="1"/>
      <c r="D1" s="1"/>
      <c r="E1" s="1"/>
    </row>
    <row r="3" customFormat="false" ht="15" hidden="false" customHeight="false" outlineLevel="0" collapsed="false">
      <c r="A3" s="5" t="s">
        <v>38</v>
      </c>
      <c r="B3" s="6" t="s">
        <v>39</v>
      </c>
      <c r="C3" s="6" t="s">
        <v>40</v>
      </c>
      <c r="D3" s="6" t="s">
        <v>41</v>
      </c>
      <c r="E3" s="6" t="s">
        <v>42</v>
      </c>
    </row>
    <row r="4" customFormat="false" ht="15" hidden="false" customHeight="false" outlineLevel="0" collapsed="false">
      <c r="A4" s="13" t="s">
        <v>43</v>
      </c>
      <c r="B4" s="13" t="s">
        <v>44</v>
      </c>
      <c r="C4" s="14" t="n">
        <f aca="false">Assumptions!B10</f>
        <v>119.99</v>
      </c>
      <c r="D4" s="14" t="n">
        <v>0</v>
      </c>
      <c r="E4" s="14" t="n">
        <v>0</v>
      </c>
    </row>
    <row r="5" customFormat="false" ht="15" hidden="false" customHeight="false" outlineLevel="0" collapsed="false">
      <c r="A5" s="13" t="s">
        <v>43</v>
      </c>
      <c r="B5" s="13" t="s">
        <v>45</v>
      </c>
      <c r="C5" s="14" t="n">
        <f aca="false">Assumptions!B11</f>
        <v>5000</v>
      </c>
      <c r="D5" s="14" t="n">
        <v>0</v>
      </c>
      <c r="E5" s="14" t="n">
        <v>0</v>
      </c>
    </row>
    <row r="6" customFormat="false" ht="15" hidden="false" customHeight="false" outlineLevel="0" collapsed="false">
      <c r="A6" s="13" t="s">
        <v>43</v>
      </c>
      <c r="B6" s="13" t="s">
        <v>46</v>
      </c>
      <c r="C6" s="14" t="n">
        <f aca="false">Assumptions!B11*Assumptions!B12</f>
        <v>1000</v>
      </c>
      <c r="D6" s="14" t="n">
        <v>0</v>
      </c>
      <c r="E6" s="14" t="n">
        <v>0</v>
      </c>
    </row>
    <row r="7" customFormat="false" ht="15" hidden="false" customHeight="false" outlineLevel="0" collapsed="false">
      <c r="A7" s="13" t="s">
        <v>43</v>
      </c>
      <c r="B7" s="13" t="s">
        <v>47</v>
      </c>
      <c r="C7" s="14" t="n">
        <v>0</v>
      </c>
      <c r="D7" s="14" t="n">
        <v>0</v>
      </c>
      <c r="E7" s="14" t="n">
        <f aca="false">Assumptions!B13</f>
        <v>20</v>
      </c>
    </row>
    <row r="8" customFormat="false" ht="15" hidden="false" customHeight="false" outlineLevel="0" collapsed="false">
      <c r="A8" s="13" t="s">
        <v>48</v>
      </c>
      <c r="B8" s="13" t="s">
        <v>49</v>
      </c>
      <c r="C8" s="14" t="n">
        <v>0</v>
      </c>
      <c r="D8" s="14" t="n">
        <f aca="false">Assumptions!B5*Assumptions!B19</f>
        <v>63.92</v>
      </c>
      <c r="E8" s="14" t="n">
        <f aca="false">D8*12</f>
        <v>767.04</v>
      </c>
    </row>
    <row r="9" customFormat="false" ht="15" hidden="false" customHeight="false" outlineLevel="0" collapsed="false">
      <c r="A9" s="13" t="s">
        <v>50</v>
      </c>
      <c r="B9" s="13" t="s">
        <v>51</v>
      </c>
      <c r="C9" s="14" t="n">
        <v>0</v>
      </c>
      <c r="D9" s="14" t="n">
        <f aca="false">Assumptions!B5*Assumptions!B25</f>
        <v>143.6</v>
      </c>
      <c r="E9" s="14" t="n">
        <f aca="false">D9*12</f>
        <v>1723.2</v>
      </c>
    </row>
    <row r="10" customFormat="false" ht="15" hidden="false" customHeight="false" outlineLevel="0" collapsed="false">
      <c r="A10" s="13" t="s">
        <v>52</v>
      </c>
      <c r="B10" s="13" t="s">
        <v>53</v>
      </c>
      <c r="C10" s="14" t="n">
        <v>0</v>
      </c>
      <c r="D10" s="14" t="n">
        <f aca="false">Assumptions!B30</f>
        <v>750</v>
      </c>
      <c r="E10" s="14" t="n">
        <f aca="false">D10*12</f>
        <v>9000</v>
      </c>
    </row>
    <row r="11" customFormat="false" ht="15" hidden="false" customHeight="false" outlineLevel="0" collapsed="false">
      <c r="A11" s="13" t="s">
        <v>52</v>
      </c>
      <c r="B11" s="13" t="s">
        <v>54</v>
      </c>
      <c r="C11" s="14" t="n">
        <v>0</v>
      </c>
      <c r="D11" s="14" t="n">
        <f aca="false">Assumptions!B31</f>
        <v>250</v>
      </c>
      <c r="E11" s="14" t="n">
        <f aca="false">D11*12</f>
        <v>3000</v>
      </c>
    </row>
    <row r="12" customFormat="false" ht="15" hidden="false" customHeight="false" outlineLevel="0" collapsed="false">
      <c r="A12" s="13" t="s">
        <v>52</v>
      </c>
      <c r="B12" s="13" t="s">
        <v>55</v>
      </c>
      <c r="C12" s="14" t="n">
        <v>0</v>
      </c>
      <c r="D12" s="14" t="n">
        <f aca="false">Assumptions!B32</f>
        <v>100</v>
      </c>
      <c r="E12" s="14" t="n">
        <f aca="false">D12*12</f>
        <v>1200</v>
      </c>
    </row>
    <row r="13" customFormat="false" ht="15" hidden="false" customHeight="false" outlineLevel="0" collapsed="false">
      <c r="A13" s="13" t="s">
        <v>52</v>
      </c>
      <c r="B13" s="13" t="s">
        <v>56</v>
      </c>
      <c r="C13" s="14" t="n">
        <v>0</v>
      </c>
      <c r="D13" s="14" t="n">
        <f aca="false">Assumptions!B33/12</f>
        <v>250</v>
      </c>
      <c r="E13" s="14" t="n">
        <f aca="false">Assumptions!B33</f>
        <v>3000</v>
      </c>
    </row>
    <row r="14" customFormat="false" ht="15" hidden="false" customHeight="false" outlineLevel="0" collapsed="false">
      <c r="A14" s="13" t="s">
        <v>52</v>
      </c>
      <c r="B14" s="13" t="s">
        <v>57</v>
      </c>
      <c r="C14" s="14" t="n">
        <v>0</v>
      </c>
      <c r="D14" s="14" t="n">
        <f aca="false">Assumptions!B34</f>
        <v>75</v>
      </c>
      <c r="E14" s="14" t="n">
        <f aca="false">D14*12</f>
        <v>900</v>
      </c>
    </row>
    <row r="16" customFormat="false" ht="15" hidden="false" customHeight="false" outlineLevel="0" collapsed="false">
      <c r="A16" s="15"/>
      <c r="B16" s="16" t="s">
        <v>58</v>
      </c>
      <c r="C16" s="17" t="n">
        <f aca="false">SUM(C4:C14)</f>
        <v>6119.99</v>
      </c>
      <c r="D16" s="17" t="n">
        <f aca="false">SUM(D4:D14)</f>
        <v>1632.52</v>
      </c>
      <c r="E16" s="17" t="n">
        <f aca="false">SUM(E4:E14)</f>
        <v>19610.24</v>
      </c>
    </row>
    <row r="17" customFormat="false" ht="15" hidden="false" customHeight="false" outlineLevel="0" collapsed="false">
      <c r="B17" s="16" t="s">
        <v>59</v>
      </c>
      <c r="E17" s="17" t="n">
        <f aca="false">C16+E16</f>
        <v>25730.23</v>
      </c>
    </row>
    <row r="19" customFormat="false" ht="18" hidden="false" customHeight="true" outlineLevel="0" collapsed="false">
      <c r="A19" s="4" t="s">
        <v>60</v>
      </c>
      <c r="B19" s="4"/>
      <c r="C19" s="4"/>
      <c r="D19" s="4"/>
      <c r="E19" s="4"/>
    </row>
    <row r="21" customFormat="false" ht="15" hidden="false" customHeight="false" outlineLevel="0" collapsed="false">
      <c r="A21" s="5" t="s">
        <v>38</v>
      </c>
      <c r="B21" s="6" t="s">
        <v>39</v>
      </c>
      <c r="C21" s="6" t="s">
        <v>40</v>
      </c>
      <c r="D21" s="6" t="s">
        <v>41</v>
      </c>
      <c r="E21" s="6" t="s">
        <v>61</v>
      </c>
    </row>
    <row r="22" customFormat="false" ht="15" hidden="false" customHeight="false" outlineLevel="0" collapsed="false">
      <c r="A22" s="13" t="s">
        <v>62</v>
      </c>
      <c r="B22" s="13" t="s">
        <v>63</v>
      </c>
      <c r="C22" s="14" t="n">
        <v>0</v>
      </c>
      <c r="D22" s="14" t="n">
        <f aca="false">Assumptions!B5*20</f>
        <v>160</v>
      </c>
      <c r="E22" s="14" t="n">
        <f aca="false">D22*12</f>
        <v>1920</v>
      </c>
    </row>
    <row r="23" customFormat="false" ht="19.4" hidden="false" customHeight="true" outlineLevel="0" collapsed="false">
      <c r="A23" s="9" t="s">
        <v>64</v>
      </c>
      <c r="B23" s="9"/>
      <c r="C23" s="9"/>
      <c r="D23" s="9"/>
      <c r="E23" s="9"/>
    </row>
  </sheetData>
  <mergeCells count="3">
    <mergeCell ref="A1:E1"/>
    <mergeCell ref="A19:E19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65</v>
      </c>
      <c r="B1" s="1"/>
    </row>
    <row r="3" customFormat="false" ht="15" hidden="false" customHeight="false" outlineLevel="0" collapsed="false">
      <c r="A3" s="5" t="s">
        <v>38</v>
      </c>
      <c r="B3" s="6" t="s">
        <v>66</v>
      </c>
    </row>
    <row r="4" customFormat="false" ht="15" hidden="false" customHeight="false" outlineLevel="0" collapsed="false">
      <c r="A4" s="7" t="s">
        <v>43</v>
      </c>
      <c r="B4" s="18" t="n">
        <f aca="false">SUMIF('Cost Detail'!$A$4:$A$14,A4,'Cost Detail'!$C$4:$C$14)+SUMIF('Cost Detail'!$A$4:$A$14,A4,'Cost Detail'!$E$4:$E$14)</f>
        <v>6139.99</v>
      </c>
    </row>
    <row r="5" customFormat="false" ht="15" hidden="false" customHeight="false" outlineLevel="0" collapsed="false">
      <c r="A5" s="7" t="s">
        <v>48</v>
      </c>
      <c r="B5" s="18" t="n">
        <f aca="false">SUMIF('Cost Detail'!$A$4:$A$14,A5,'Cost Detail'!$C$4:$C$14)+SUMIF('Cost Detail'!$A$4:$A$14,A5,'Cost Detail'!$E$4:$E$14)</f>
        <v>767.04</v>
      </c>
    </row>
    <row r="6" customFormat="false" ht="15" hidden="false" customHeight="false" outlineLevel="0" collapsed="false">
      <c r="A6" s="7" t="s">
        <v>50</v>
      </c>
      <c r="B6" s="18" t="n">
        <f aca="false">SUMIF('Cost Detail'!$A$4:$A$14,A6,'Cost Detail'!$C$4:$C$14)+SUMIF('Cost Detail'!$A$4:$A$14,A6,'Cost Detail'!$E$4:$E$14)</f>
        <v>1723.2</v>
      </c>
    </row>
    <row r="7" customFormat="false" ht="15" hidden="false" customHeight="false" outlineLevel="0" collapsed="false">
      <c r="A7" s="7" t="s">
        <v>52</v>
      </c>
      <c r="B7" s="18" t="n">
        <f aca="false">SUMIF('Cost Detail'!$A$4:$A$14,A7,'Cost Detail'!$C$4:$C$14)+SUMIF('Cost Detail'!$A$4:$A$14,A7,'Cost Detail'!$E$4:$E$14)</f>
        <v>17100</v>
      </c>
    </row>
    <row r="8" customFormat="false" ht="15" hidden="false" customHeight="false" outlineLevel="0" collapsed="false">
      <c r="A8" s="16" t="s">
        <v>67</v>
      </c>
      <c r="B8" s="19" t="n">
        <f aca="false">SUM(B4:B7)</f>
        <v>25730.23</v>
      </c>
    </row>
    <row r="10" customFormat="false" ht="37.3" hidden="false" customHeight="true" outlineLevel="0" collapsed="false">
      <c r="A10" s="9" t="s">
        <v>68</v>
      </c>
      <c r="B10" s="9"/>
    </row>
    <row r="13" customFormat="false" ht="15" hidden="false" customHeight="false" outlineLevel="0" collapsed="false">
      <c r="A13" s="16" t="s">
        <v>69</v>
      </c>
    </row>
    <row r="14" customFormat="false" ht="15" hidden="false" customHeight="false" outlineLevel="0" collapsed="false">
      <c r="A14" s="5" t="s">
        <v>38</v>
      </c>
      <c r="B14" s="6" t="s">
        <v>66</v>
      </c>
      <c r="C14" s="6" t="s">
        <v>70</v>
      </c>
      <c r="D14" s="6" t="s">
        <v>71</v>
      </c>
    </row>
    <row r="15" customFormat="false" ht="15" hidden="false" customHeight="false" outlineLevel="0" collapsed="false">
      <c r="A15" s="7" t="s">
        <v>43</v>
      </c>
      <c r="B15" s="18" t="n">
        <f aca="false">B4</f>
        <v>6139.99</v>
      </c>
      <c r="C15" s="20" t="n">
        <f aca="false">B4/$B$8</f>
        <v>0.238629425387958</v>
      </c>
      <c r="D15" s="21" t="str">
        <f aca="false">REPT("█",ROUND(C15*40,0))</f>
        <v>██████████</v>
      </c>
    </row>
    <row r="16" customFormat="false" ht="15" hidden="false" customHeight="false" outlineLevel="0" collapsed="false">
      <c r="A16" s="7" t="s">
        <v>48</v>
      </c>
      <c r="B16" s="18" t="n">
        <f aca="false">B5</f>
        <v>767.04</v>
      </c>
      <c r="C16" s="20" t="n">
        <f aca="false">B5/$B$8</f>
        <v>0.0298108489508255</v>
      </c>
      <c r="D16" s="21" t="str">
        <f aca="false">REPT("█",ROUND(C16*40,0))</f>
        <v>█</v>
      </c>
    </row>
    <row r="17" customFormat="false" ht="15" hidden="false" customHeight="false" outlineLevel="0" collapsed="false">
      <c r="A17" s="7" t="s">
        <v>50</v>
      </c>
      <c r="B17" s="18" t="n">
        <f aca="false">B6</f>
        <v>1723.2</v>
      </c>
      <c r="C17" s="20" t="n">
        <f aca="false">B6/$B$8</f>
        <v>0.0669718070922802</v>
      </c>
      <c r="D17" s="21" t="str">
        <f aca="false">REPT("█",ROUND(C17*40,0))</f>
        <v>███</v>
      </c>
    </row>
    <row r="18" customFormat="false" ht="15" hidden="false" customHeight="false" outlineLevel="0" collapsed="false">
      <c r="A18" s="7" t="s">
        <v>52</v>
      </c>
      <c r="B18" s="18" t="n">
        <f aca="false">B7</f>
        <v>17100</v>
      </c>
      <c r="C18" s="20" t="n">
        <f aca="false">B7/$B$8</f>
        <v>0.664587918568936</v>
      </c>
      <c r="D18" s="21" t="str">
        <f aca="false">REPT("█",ROUND(C18*40,0))</f>
        <v>███████████████████████████</v>
      </c>
    </row>
  </sheetData>
  <mergeCells count="2">
    <mergeCell ref="A1:B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2026-08-03T20:50:30Z</dcterms:created>
  <dc:creator>openpyxl</dc:creator>
  <dc:description/>
  <dc:language>en-US</dc:language>
  <cp:lastModifiedBy/>
  <dcterms:modified xsi:type="dcterms:W3CDTF">2026-08-03T20:50:30Z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