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Segment Unit Economics" sheetId="3" state="visible" r:id="rId5"/>
    <sheet name="3-Year Build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<sst xmlns="http://schemas.openxmlformats.org/spreadsheetml/2006/main" count="131" uniqueCount="94">
  <si>
    <t xml:space="preserve">YIELD HEALTHCARE — PMPM CARE MANAGEMENT PRICING MODEL</t>
  </si>
  <si>
    <t xml:space="preserve">This workbook models a new Yield Healthcare line of business: a PMPM (per member per month) care management program sold to risk-bearing provider groups and ACOs, spanning three population segments — Post-Acute Transitions, Peri-Operative Optimization, and Complex Chronic Care Management.</t>
  </si>
  <si>
    <t xml:space="preserve">Tabs:</t>
  </si>
  <si>
    <t xml:space="preserve">  Assumptions — every input the model runs on (customer sizing, segment enrollment rates, PMPM fees, CMS billing capture, delivery cost, ramp curve, customer acquisition plan). Blue text = editable input.</t>
  </si>
  <si>
    <t xml:space="preserve">  Segment Unit Economics — per-enrolled-member and per-customer revenue, cost, and margin for each of the three population segments, plus a blended total.</t>
  </si>
  <si>
    <t xml:space="preserve">  3-Year Build — customer cohort ramp (new signings, retention, enrollment maturity by relationship year) driving total revenue, cost, and gross profit.</t>
  </si>
  <si>
    <t xml:space="preserve">  Summary — company-level rollup and a revenue-by-year chart.</t>
  </si>
  <si>
    <t xml:space="preserve">How to use it: change any blue cell on the Assumptions tab and every other tab recalculates. All dollar figures are illustrative planning assumptions unless a source is cited in an adjacent note.</t>
  </si>
  <si>
    <t xml:space="preserve">Sourced figures (verified July 2026): CMS reports 14.3M Medicare beneficiaries in an ACO for 2026 (511 MSSP ACOs covering 12.6M lives, 74 ACO REACH ACOs covering 1.7M lives); 2026 Medicare Physician Fee Schedule national average rates for CPT 99490 ($62), 99487 ($144), 99489 ($78 add-on), 99424 PCM ($88), 99495/99496 TCM (~$220/$298.60), HCPCS G0023/G0024 PIN (~$87/$54), and RPM codes 99453/99454/99457/99458 (~$22/$47/$52/$41). Enrollment rates, PMPM pricing, delivery cost, customer sizing, and the acquisition ramp are labeled planning assumptions for Yield Healthcare to refine with real underwriting data — this is a planning model, not a quote or a filed rate schedule.</t>
  </si>
  <si>
    <t xml:space="preserve">ASSUMPTIONS</t>
  </si>
  <si>
    <t xml:space="preserve">1. CUSTOMER SIZING — covered/attributed lives per risk-bearing provider group</t>
  </si>
  <si>
    <t xml:space="preserve">Size tier</t>
  </si>
  <si>
    <t xml:space="preserve">Lives</t>
  </si>
  <si>
    <t xml:space="preserve">Mix %</t>
  </si>
  <si>
    <t xml:space="preserve">Small</t>
  </si>
  <si>
    <t xml:space="preserve">Medium</t>
  </si>
  <si>
    <t xml:space="preserve">Large</t>
  </si>
  <si>
    <t xml:space="preserve">Blended lives per customer</t>
  </si>
  <si>
    <t xml:space="preserve">Size mix is a planning assumption. For reference: CMS reports 511 MSSP ACOs covering 12.6M lives (avg ~24,700/ACO) and 74 ACO REACH ACOs covering 1.7M lives (avg ~23,000/ACO) in 2026 — the blended average above assumes Yield Healthcare's PMPM offering skews toward larger, better-resourced organizations able to fund an external vendor.</t>
  </si>
  <si>
    <t xml:space="preserve">2. POPULATION SEGMENTS — enrollment rate (% of covered lives actively enrolled/month)</t>
  </si>
  <si>
    <t xml:space="preserve">Segment</t>
  </si>
  <si>
    <t xml:space="preserve">Enrollment rate</t>
  </si>
  <si>
    <t xml:space="preserve">Post-Acute Transitions</t>
  </si>
  <si>
    <t xml:space="preserve">Peri-Operative Optimization</t>
  </si>
  <si>
    <t xml:space="preserve">Complex Chronic CM</t>
  </si>
  <si>
    <t xml:space="preserve">Post-Acute Transitions: members with a recent acute stay or TEAM-eligible surgical episode, ~60-90 day intensive window. Peri-Operative: members with a scheduled major surgery, pre-op through recovery. Complex Chronic CM: multi-condition, high-HCC members in ongoing monthly management. Rates reflect the well-established finding that a small share of any population drives the majority of preventable cost and utilization.</t>
  </si>
  <si>
    <t xml:space="preserve">3. PMPM CLIENT FEE — charged to the ACO/provider group per enrolled member per month</t>
  </si>
  <si>
    <t xml:space="preserve">PMPM fee</t>
  </si>
  <si>
    <t xml:space="preserve">4. CMS BILLING REVENUE — net to Yield Healthcare, per enrolled member per month</t>
  </si>
  <si>
    <t xml:space="preserve">Net CMS billing PMPM</t>
  </si>
  <si>
    <t xml:space="preserve">Assumes a 60% contracted revenue-share on collected CM billing (same structure as Yield Healthcare's TEAM Embedded tier) — billing runs through the provider group's or an affiliated physician group's Medicare enrollment, not Yield Healthcare's own NPI. Post-Acute and Peri-Operative capture is largely episodic TCM/PIN revenue (CPT 99495/99496, HCPCS G0023/G0024), amortized here to a monthly-equivalent figure for modeling. Complex Chronic capture is genuinely recurring, blending complex CCM (99487/99489), PCM (99424+), and RPM (99453/99454/99457/99458).</t>
  </si>
  <si>
    <t xml:space="preserve">5. DELIVERY COST — per enrolled member per month, staffing-driven</t>
  </si>
  <si>
    <t xml:space="preserve">Delivery cost PMPM</t>
  </si>
  <si>
    <t xml:space="preserve">Technology / platform overhead (% of segment revenue)</t>
  </si>
  <si>
    <t xml:space="preserve">6. ONE-TIME ONBOARDING FEE</t>
  </si>
  <si>
    <t xml:space="preserve">Onboarding / implementation fee, per new customer</t>
  </si>
  <si>
    <t xml:space="preserve">Onboarding delivery margin</t>
  </si>
  <si>
    <t xml:space="preserve">7. ENROLLMENT MATURITY RAMP — % of full target enrollment reached, by relationship year</t>
  </si>
  <si>
    <t xml:space="preserve">Relationship year</t>
  </si>
  <si>
    <t xml:space="preserve">% of target enrollment</t>
  </si>
  <si>
    <t xml:space="preserve">Year 1 (signing year)</t>
  </si>
  <si>
    <t xml:space="preserve">Year 2</t>
  </si>
  <si>
    <t xml:space="preserve">Year 3+</t>
  </si>
  <si>
    <t xml:space="preserve">New customers take time to build identification workflows, hire care teams, and ramp referral volume — modeled here as a 3-year maturity curve rather than an instant jump to full enrollment.</t>
  </si>
  <si>
    <t xml:space="preserve">8. CUSTOMER ACQUISITION PLAN</t>
  </si>
  <si>
    <t xml:space="preserve">Year</t>
  </si>
  <si>
    <t xml:space="preserve">New customers signed</t>
  </si>
  <si>
    <t xml:space="preserve">Year 1</t>
  </si>
  <si>
    <t xml:space="preserve">Year 3</t>
  </si>
  <si>
    <t xml:space="preserve">Annual retention rate</t>
  </si>
  <si>
    <t xml:space="preserve">Year 1 is a design-partner phase, consistent with how Yield Healthcare launched the TEAM Embedded tier — a small number of sophisticated risk-bearing groups willing to build the program jointly, prioritizing existing TEAM hospital relationships as warm introductions into their affiliated ACOs.</t>
  </si>
  <si>
    <t xml:space="preserve">SEGMENT UNIT ECONOMICS — per full-run-rate customer</t>
  </si>
  <si>
    <t xml:space="preserve">Blended lives per customer (from Assumptions)</t>
  </si>
  <si>
    <t xml:space="preserve">Enrolled members</t>
  </si>
  <si>
    <t xml:space="preserve">PMPM client fee</t>
  </si>
  <si>
    <t xml:space="preserve">Total rev PMPM</t>
  </si>
  <si>
    <t xml:space="preserve">Tech overhead PMPM</t>
  </si>
  <si>
    <t xml:space="preserve">Total cost PMPM</t>
  </si>
  <si>
    <t xml:space="preserve">GP PMPM</t>
  </si>
  <si>
    <t xml:space="preserve">Margin</t>
  </si>
  <si>
    <t xml:space="preserve">ANNUALIZED, PER FULL-RUN-RATE CUSTOMER</t>
  </si>
  <si>
    <t xml:space="preserve">Annual revenue</t>
  </si>
  <si>
    <t xml:space="preserve">Annual cost</t>
  </si>
  <si>
    <t xml:space="preserve">Annual GP</t>
  </si>
  <si>
    <t xml:space="preserve">Blended total per customer</t>
  </si>
  <si>
    <t xml:space="preserve">Blended margin</t>
  </si>
  <si>
    <t xml:space="preserve">Full run-rate = a customer at 100% of target enrollment (relationship year 3+ per the maturity ramp on the Assumptions tab). The 3-Year Build tab applies the ramp curve and acquisition plan to phase customers in below full run-rate during their first two years.</t>
  </si>
  <si>
    <t xml:space="preserve">3-YEAR BUILD</t>
  </si>
  <si>
    <t xml:space="preserve">COHORT MATRIX — revenue-equivalent customers by calendar year (ramp-adjusted, retention-adjusted)</t>
  </si>
  <si>
    <t xml:space="preserve">Cohort (signed in)</t>
  </si>
  <si>
    <t xml:space="preserve">New signed</t>
  </si>
  <si>
    <t xml:space="preserve">Cohort: Year 1</t>
  </si>
  <si>
    <t xml:space="preserve">Cohort: Year 2</t>
  </si>
  <si>
    <t xml:space="preserve">Cohort: Year 3</t>
  </si>
  <si>
    <t xml:space="preserve">Total revenue-equiv customers</t>
  </si>
  <si>
    <t xml:space="preserve">CUMULATIVE CUSTOMERS &amp; LIVES ON ROSTER (unweighted headcount, for context)</t>
  </si>
  <si>
    <t xml:space="preserve">Cumulative active customers</t>
  </si>
  <si>
    <t xml:space="preserve">Covered lives on roster</t>
  </si>
  <si>
    <t xml:space="preserve">REVENUE, COST &amp; GROSS PROFIT</t>
  </si>
  <si>
    <t xml:space="preserve">Recurring revenue (PMPM + CMS billing)</t>
  </si>
  <si>
    <t xml:space="preserve">Recurring cost</t>
  </si>
  <si>
    <t xml:space="preserve">Onboarding revenue (new signings)</t>
  </si>
  <si>
    <t xml:space="preserve">Onboarding cost</t>
  </si>
  <si>
    <t xml:space="preserve">TOTAL REVENUE</t>
  </si>
  <si>
    <t xml:space="preserve">TOTAL COST</t>
  </si>
  <si>
    <t xml:space="preserve">GROSS PROFIT</t>
  </si>
  <si>
    <t xml:space="preserve">Gross margin</t>
  </si>
  <si>
    <t xml:space="preserve">Revenue-equivalent customers phase in below full run-rate during their first two relationship years per the enrollment maturity ramp. A new cohort's onboarding fee is recognized in its signing year only.</t>
  </si>
  <si>
    <t xml:space="preserve">YIELD HEALTHCARE — PMPM LOB 3-YEAR SUMMARY</t>
  </si>
  <si>
    <t xml:space="preserve">Cumulative customers</t>
  </si>
  <si>
    <t xml:space="preserve">Total revenue</t>
  </si>
  <si>
    <t xml:space="preserve">Total cost</t>
  </si>
  <si>
    <t xml:space="preserve">Gross profit</t>
  </si>
  <si>
    <t xml:space="preserve">All figures are illustrative planning estimates built from the Assumptions tab — refine enrollment rates, PMPM pricing, and delivery cost as real underwriting and staffing data become available.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</si>
</sst>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$#,##0;&quot;($&quot;#,##0\);\-"/>
    <numFmt numFmtId="168" formatCode="\$#,##0.00;&quot;($&quot;#,##0.00\);\-"/>
    <numFmt numFmtId="169" formatCode="0.00"/>
    <numFmt numFmtId="170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4B3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4B3A"/>
        <bgColor rgb="FF003366"/>
      </patternFill>
    </fill>
    <fill>
      <patternFill patternType="solid">
        <fgColor rgb="FF8FA687"/>
        <bgColor rgb="FF9BBB59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78787"/>
      <rgbColor rgb="FF8FA687"/>
      <rgbColor rgb="FF003366"/>
      <rgbColor rgb="FF339966"/>
      <rgbColor rgb="FF003300"/>
      <rgbColor rgb="FF333300"/>
      <rgbColor rgb="FF993300"/>
      <rgbColor rgb="FF993366"/>
      <rgbColor rgb="FF333399"/>
      <rgbColor rgb="FF1E4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Revenue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E4B3A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Summary!$B$3:$D$3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Summary!$B$8</c:f>
              <c:numCache>
                <c:formatCode>\$#,##0;"($"#,##0\);\-</c:formatCode>
                <c:ptCount val="1"/>
                <c:pt idx="0">
                  <c:v>2176720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Summary!$B$3:$D$3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Summary!$C$8</c:f>
              <c:numCache>
                <c:formatCode>\$#,##0;"($"#,##0\);\-</c:formatCode>
                <c:ptCount val="1"/>
                <c:pt idx="0">
                  <c:v>12218304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Summary!$B$3:$D$3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Summary!$D$8</c:f>
              <c:numCache>
                <c:formatCode>\$#,##0;"($"#,##0\);\-</c:formatCode>
                <c:ptCount val="1"/>
                <c:pt idx="0">
                  <c:v>36480248</c:v>
                </c:pt>
              </c:numCache>
            </c:numRef>
          </c:val>
        </c:ser>
        <c:gapWidth val="150"/>
        <c:overlap val="0"/>
        <c:axId val="15325187"/>
        <c:axId val="81531749"/>
      </c:barChart>
      <c:catAx>
        <c:axId val="153251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531749"/>
        <c:crosses val="autoZero"/>
        <c:auto val="1"/>
        <c:lblAlgn val="ctr"/>
        <c:lblOffset val="100"/>
        <c:noMultiLvlLbl val="0"/>
      </c:catAx>
      <c:valAx>
        <c:axId val="815317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3251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5</xdr:col>
      <xdr:colOff>191160</xdr:colOff>
      <xdr:row>34</xdr:row>
      <xdr:rowOff>22320</xdr:rowOff>
    </xdr:to>
    <xdr:graphicFrame>
      <xdr:nvGraphicFramePr>
        <xdr:cNvPr id="1" name="Chart 1"/>
        <xdr:cNvGraphicFramePr/>
      </xdr:nvGraphicFramePr>
      <xdr:xfrm>
        <a:off x="0" y="37612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2"/>
    <col collapsed="false" customWidth="true" hidden="false" outlineLevel="0" max="7" min="3" style="0" width="3"/>
  </cols>
  <sheetData>
    <row r="2" customFormat="false" ht="27.75" hidden="false" customHeight="true" outlineLevel="0" collapsed="false">
      <c r="A2" s="1" t="s">
        <v>0</v>
      </c>
      <c r="B2" s="1"/>
    </row>
    <row r="4" customFormat="false" ht="45" hidden="false" customHeight="true" outlineLevel="0" collapsed="false">
      <c r="B4" s="2" t="s">
        <v>1</v>
      </c>
    </row>
    <row r="5" customFormat="false" ht="15" hidden="false" customHeight="true" outlineLevel="0" collapsed="false">
      <c r="B5" s="2"/>
    </row>
    <row r="6" customFormat="false" ht="15" hidden="false" customHeight="true" outlineLevel="0" collapsed="false">
      <c r="B6" s="3" t="s">
        <v>2</v>
      </c>
    </row>
    <row r="7" customFormat="false" ht="45" hidden="false" customHeight="true" outlineLevel="0" collapsed="false">
      <c r="B7" s="2" t="s">
        <v>3</v>
      </c>
    </row>
    <row r="8" customFormat="false" ht="45" hidden="false" customHeight="true" outlineLevel="0" collapsed="false">
      <c r="B8" s="2" t="s">
        <v>4</v>
      </c>
    </row>
    <row r="9" customFormat="false" ht="45" hidden="false" customHeight="true" outlineLevel="0" collapsed="false">
      <c r="B9" s="2" t="s">
        <v>5</v>
      </c>
    </row>
    <row r="10" customFormat="false" ht="15" hidden="false" customHeight="true" outlineLevel="0" collapsed="false">
      <c r="B10" s="2" t="s">
        <v>6</v>
      </c>
    </row>
    <row r="11" customFormat="false" ht="15" hidden="false" customHeight="true" outlineLevel="0" collapsed="false">
      <c r="B11" s="2"/>
    </row>
    <row r="12" customFormat="false" ht="45" hidden="false" customHeight="true" outlineLevel="0" collapsed="false">
      <c r="B12" s="2" t="s">
        <v>7</v>
      </c>
    </row>
    <row r="13" customFormat="false" ht="15" hidden="false" customHeight="true" outlineLevel="0" collapsed="false">
      <c r="B13" s="2"/>
    </row>
    <row r="14" customFormat="false" ht="45" hidden="false" customHeight="true" outlineLevel="0" collapsed="false">
      <c r="B14" s="2" t="s">
        <v>8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5" min="5" style="0" width="3"/>
    <col collapsed="false" customWidth="true" hidden="false" outlineLevel="0" max="6" min="6" style="0" width="46"/>
  </cols>
  <sheetData>
    <row r="1" customFormat="false" ht="21.75" hidden="false" customHeight="true" outlineLevel="0" collapsed="false">
      <c r="A1" s="1" t="s">
        <v>9</v>
      </c>
      <c r="B1" s="1"/>
      <c r="C1" s="1"/>
      <c r="D1" s="1"/>
    </row>
    <row r="3" customFormat="false" ht="18" hidden="false" customHeight="true" outlineLevel="0" collapsed="false">
      <c r="A3" s="4" t="s">
        <v>10</v>
      </c>
      <c r="B3" s="4"/>
      <c r="C3" s="4"/>
      <c r="D3" s="4"/>
    </row>
    <row r="4" customFormat="false" ht="15" hidden="false" customHeight="false" outlineLevel="0" collapsed="false">
      <c r="A4" s="5" t="s">
        <v>11</v>
      </c>
      <c r="B4" s="6" t="s">
        <v>12</v>
      </c>
      <c r="C4" s="6" t="s">
        <v>13</v>
      </c>
    </row>
    <row r="5" customFormat="false" ht="15" hidden="false" customHeight="false" outlineLevel="0" collapsed="false">
      <c r="A5" s="7" t="s">
        <v>14</v>
      </c>
      <c r="B5" s="8" t="n">
        <v>15000</v>
      </c>
      <c r="C5" s="9" t="n">
        <v>0.5</v>
      </c>
    </row>
    <row r="6" customFormat="false" ht="15" hidden="false" customHeight="false" outlineLevel="0" collapsed="false">
      <c r="A6" s="7" t="s">
        <v>15</v>
      </c>
      <c r="B6" s="8" t="n">
        <v>45000</v>
      </c>
      <c r="C6" s="9" t="n">
        <v>0.35</v>
      </c>
    </row>
    <row r="7" customFormat="false" ht="15" hidden="false" customHeight="false" outlineLevel="0" collapsed="false">
      <c r="A7" s="7" t="s">
        <v>16</v>
      </c>
      <c r="B7" s="8" t="n">
        <v>120000</v>
      </c>
      <c r="C7" s="9" t="n">
        <v>0.15</v>
      </c>
    </row>
    <row r="8" customFormat="false" ht="15" hidden="false" customHeight="false" outlineLevel="0" collapsed="false">
      <c r="A8" s="10" t="s">
        <v>17</v>
      </c>
      <c r="B8" s="11" t="n">
        <f aca="false">SUMPRODUCT(B5:B7,C5:C7)</f>
        <v>41250</v>
      </c>
    </row>
    <row r="9" customFormat="false" ht="28.35" hidden="false" customHeight="true" outlineLevel="0" collapsed="false">
      <c r="A9" s="12" t="s">
        <v>18</v>
      </c>
      <c r="B9" s="12"/>
      <c r="C9" s="12"/>
      <c r="D9" s="12"/>
    </row>
    <row r="12" customFormat="false" ht="18" hidden="false" customHeight="true" outlineLevel="0" collapsed="false">
      <c r="A12" s="4" t="s">
        <v>19</v>
      </c>
      <c r="B12" s="4"/>
      <c r="C12" s="4"/>
      <c r="D12" s="4"/>
    </row>
    <row r="13" customFormat="false" ht="15" hidden="false" customHeight="false" outlineLevel="0" collapsed="false">
      <c r="A13" s="5" t="s">
        <v>20</v>
      </c>
      <c r="B13" s="6" t="s">
        <v>21</v>
      </c>
      <c r="C13" s="6"/>
      <c r="D13" s="6"/>
    </row>
    <row r="14" customFormat="false" ht="15" hidden="false" customHeight="false" outlineLevel="0" collapsed="false">
      <c r="A14" s="7" t="s">
        <v>22</v>
      </c>
      <c r="B14" s="9" t="n">
        <v>0.008</v>
      </c>
    </row>
    <row r="15" customFormat="false" ht="15" hidden="false" customHeight="false" outlineLevel="0" collapsed="false">
      <c r="A15" s="7" t="s">
        <v>23</v>
      </c>
      <c r="B15" s="9" t="n">
        <v>0.005</v>
      </c>
    </row>
    <row r="16" customFormat="false" ht="15" hidden="false" customHeight="false" outlineLevel="0" collapsed="false">
      <c r="A16" s="7" t="s">
        <v>24</v>
      </c>
      <c r="B16" s="9" t="n">
        <v>0.04</v>
      </c>
    </row>
    <row r="18" customFormat="false" ht="37.3" hidden="false" customHeight="true" outlineLevel="0" collapsed="false">
      <c r="A18" s="12" t="s">
        <v>25</v>
      </c>
      <c r="B18" s="12"/>
      <c r="C18" s="12"/>
      <c r="D18" s="12"/>
    </row>
    <row r="21" customFormat="false" ht="18" hidden="false" customHeight="true" outlineLevel="0" collapsed="false">
      <c r="A21" s="4" t="s">
        <v>26</v>
      </c>
      <c r="B21" s="4"/>
      <c r="C21" s="4"/>
      <c r="D21" s="4"/>
    </row>
    <row r="22" customFormat="false" ht="15" hidden="false" customHeight="false" outlineLevel="0" collapsed="false">
      <c r="A22" s="5" t="s">
        <v>20</v>
      </c>
      <c r="B22" s="6" t="s">
        <v>27</v>
      </c>
      <c r="C22" s="6"/>
      <c r="D22" s="6"/>
    </row>
    <row r="23" customFormat="false" ht="15" hidden="false" customHeight="false" outlineLevel="0" collapsed="false">
      <c r="A23" s="7" t="s">
        <v>22</v>
      </c>
      <c r="B23" s="13" t="n">
        <v>175</v>
      </c>
    </row>
    <row r="24" customFormat="false" ht="15" hidden="false" customHeight="false" outlineLevel="0" collapsed="false">
      <c r="A24" s="7" t="s">
        <v>23</v>
      </c>
      <c r="B24" s="13" t="n">
        <v>195</v>
      </c>
    </row>
    <row r="25" customFormat="false" ht="15" hidden="false" customHeight="false" outlineLevel="0" collapsed="false">
      <c r="A25" s="7" t="s">
        <v>24</v>
      </c>
      <c r="B25" s="13" t="n">
        <v>85</v>
      </c>
    </row>
    <row r="28" customFormat="false" ht="18" hidden="false" customHeight="true" outlineLevel="0" collapsed="false">
      <c r="A28" s="4" t="s">
        <v>28</v>
      </c>
      <c r="B28" s="4"/>
      <c r="C28" s="4"/>
      <c r="D28" s="4"/>
    </row>
    <row r="29" customFormat="false" ht="15" hidden="false" customHeight="false" outlineLevel="0" collapsed="false">
      <c r="A29" s="5" t="s">
        <v>20</v>
      </c>
      <c r="B29" s="6" t="s">
        <v>29</v>
      </c>
      <c r="C29" s="6"/>
      <c r="D29" s="6"/>
    </row>
    <row r="30" customFormat="false" ht="15" hidden="false" customHeight="false" outlineLevel="0" collapsed="false">
      <c r="A30" s="7" t="s">
        <v>22</v>
      </c>
      <c r="B30" s="13" t="n">
        <v>80</v>
      </c>
    </row>
    <row r="31" customFormat="false" ht="15" hidden="false" customHeight="false" outlineLevel="0" collapsed="false">
      <c r="A31" s="7" t="s">
        <v>23</v>
      </c>
      <c r="B31" s="13" t="n">
        <v>85</v>
      </c>
    </row>
    <row r="32" customFormat="false" ht="15" hidden="false" customHeight="false" outlineLevel="0" collapsed="false">
      <c r="A32" s="7" t="s">
        <v>24</v>
      </c>
      <c r="B32" s="13" t="n">
        <v>95</v>
      </c>
    </row>
    <row r="34" customFormat="false" ht="46.25" hidden="false" customHeight="true" outlineLevel="0" collapsed="false">
      <c r="A34" s="12" t="s">
        <v>30</v>
      </c>
      <c r="B34" s="12"/>
      <c r="C34" s="12"/>
      <c r="D34" s="12"/>
    </row>
    <row r="37" customFormat="false" ht="18" hidden="false" customHeight="true" outlineLevel="0" collapsed="false">
      <c r="A37" s="4" t="s">
        <v>31</v>
      </c>
      <c r="B37" s="4"/>
      <c r="C37" s="4"/>
      <c r="D37" s="4"/>
    </row>
    <row r="38" customFormat="false" ht="15" hidden="false" customHeight="false" outlineLevel="0" collapsed="false">
      <c r="A38" s="5" t="s">
        <v>20</v>
      </c>
      <c r="B38" s="6" t="s">
        <v>32</v>
      </c>
      <c r="C38" s="6"/>
      <c r="D38" s="6"/>
    </row>
    <row r="39" customFormat="false" ht="15" hidden="false" customHeight="false" outlineLevel="0" collapsed="false">
      <c r="A39" s="7" t="s">
        <v>22</v>
      </c>
      <c r="B39" s="13" t="n">
        <v>115</v>
      </c>
    </row>
    <row r="40" customFormat="false" ht="15" hidden="false" customHeight="false" outlineLevel="0" collapsed="false">
      <c r="A40" s="7" t="s">
        <v>23</v>
      </c>
      <c r="B40" s="13" t="n">
        <v>130</v>
      </c>
    </row>
    <row r="41" customFormat="false" ht="15" hidden="false" customHeight="false" outlineLevel="0" collapsed="false">
      <c r="A41" s="7" t="s">
        <v>24</v>
      </c>
      <c r="B41" s="13" t="n">
        <v>55</v>
      </c>
    </row>
    <row r="43" customFormat="false" ht="15" hidden="false" customHeight="false" outlineLevel="0" collapsed="false">
      <c r="A43" s="7" t="s">
        <v>33</v>
      </c>
      <c r="B43" s="9" t="n">
        <v>0.05</v>
      </c>
    </row>
    <row r="45" customFormat="false" ht="18" hidden="false" customHeight="true" outlineLevel="0" collapsed="false">
      <c r="A45" s="4" t="s">
        <v>34</v>
      </c>
      <c r="B45" s="4"/>
      <c r="C45" s="4"/>
      <c r="D45" s="4"/>
    </row>
    <row r="46" customFormat="false" ht="15" hidden="false" customHeight="false" outlineLevel="0" collapsed="false">
      <c r="A46" s="7" t="s">
        <v>35</v>
      </c>
      <c r="B46" s="13" t="n">
        <v>35000</v>
      </c>
    </row>
    <row r="47" customFormat="false" ht="15" hidden="false" customHeight="false" outlineLevel="0" collapsed="false">
      <c r="A47" s="7" t="s">
        <v>36</v>
      </c>
      <c r="B47" s="9" t="n">
        <v>0.65</v>
      </c>
    </row>
    <row r="49" customFormat="false" ht="18" hidden="false" customHeight="true" outlineLevel="0" collapsed="false">
      <c r="A49" s="4" t="s">
        <v>37</v>
      </c>
      <c r="B49" s="4"/>
      <c r="C49" s="4"/>
      <c r="D49" s="4"/>
    </row>
    <row r="50" customFormat="false" ht="15" hidden="false" customHeight="false" outlineLevel="0" collapsed="false">
      <c r="A50" s="5" t="s">
        <v>38</v>
      </c>
      <c r="B50" s="6" t="s">
        <v>39</v>
      </c>
      <c r="C50" s="6"/>
      <c r="D50" s="6"/>
    </row>
    <row r="51" customFormat="false" ht="15" hidden="false" customHeight="false" outlineLevel="0" collapsed="false">
      <c r="A51" s="7" t="s">
        <v>40</v>
      </c>
      <c r="B51" s="9" t="n">
        <v>0.2</v>
      </c>
    </row>
    <row r="52" customFormat="false" ht="15" hidden="false" customHeight="false" outlineLevel="0" collapsed="false">
      <c r="A52" s="7" t="s">
        <v>41</v>
      </c>
      <c r="B52" s="9" t="n">
        <v>0.6</v>
      </c>
    </row>
    <row r="53" customFormat="false" ht="15" hidden="false" customHeight="false" outlineLevel="0" collapsed="false">
      <c r="A53" s="7" t="s">
        <v>42</v>
      </c>
      <c r="B53" s="9" t="n">
        <v>1</v>
      </c>
    </row>
    <row r="55" customFormat="false" ht="19.4" hidden="false" customHeight="true" outlineLevel="0" collapsed="false">
      <c r="A55" s="12" t="s">
        <v>43</v>
      </c>
      <c r="B55" s="12"/>
      <c r="C55" s="12"/>
      <c r="D55" s="12"/>
    </row>
    <row r="58" customFormat="false" ht="18" hidden="false" customHeight="true" outlineLevel="0" collapsed="false">
      <c r="A58" s="4" t="s">
        <v>44</v>
      </c>
      <c r="B58" s="4"/>
      <c r="C58" s="4"/>
      <c r="D58" s="4"/>
    </row>
    <row r="59" customFormat="false" ht="15" hidden="false" customHeight="false" outlineLevel="0" collapsed="false">
      <c r="A59" s="5" t="s">
        <v>45</v>
      </c>
      <c r="B59" s="6" t="s">
        <v>46</v>
      </c>
      <c r="C59" s="6"/>
      <c r="D59" s="6"/>
    </row>
    <row r="60" customFormat="false" ht="15" hidden="false" customHeight="false" outlineLevel="0" collapsed="false">
      <c r="A60" s="7" t="s">
        <v>47</v>
      </c>
      <c r="B60" s="8" t="n">
        <v>2</v>
      </c>
    </row>
    <row r="61" customFormat="false" ht="15" hidden="false" customHeight="false" outlineLevel="0" collapsed="false">
      <c r="A61" s="7" t="s">
        <v>41</v>
      </c>
      <c r="B61" s="8" t="n">
        <v>6</v>
      </c>
    </row>
    <row r="62" customFormat="false" ht="15" hidden="false" customHeight="false" outlineLevel="0" collapsed="false">
      <c r="A62" s="7" t="s">
        <v>48</v>
      </c>
      <c r="B62" s="8" t="n">
        <v>10</v>
      </c>
    </row>
    <row r="64" customFormat="false" ht="15" hidden="false" customHeight="false" outlineLevel="0" collapsed="false">
      <c r="A64" s="7" t="s">
        <v>49</v>
      </c>
      <c r="B64" s="9" t="n">
        <v>0.9</v>
      </c>
    </row>
    <row r="65" customFormat="false" ht="28.35" hidden="false" customHeight="true" outlineLevel="0" collapsed="false">
      <c r="A65" s="12" t="s">
        <v>50</v>
      </c>
      <c r="B65" s="12"/>
      <c r="C65" s="12"/>
      <c r="D65" s="12"/>
    </row>
  </sheetData>
  <mergeCells count="14">
    <mergeCell ref="A1:D1"/>
    <mergeCell ref="A3:D3"/>
    <mergeCell ref="A9:D9"/>
    <mergeCell ref="A12:D12"/>
    <mergeCell ref="A18:D18"/>
    <mergeCell ref="A21:D21"/>
    <mergeCell ref="A28:D28"/>
    <mergeCell ref="A34:D34"/>
    <mergeCell ref="A37:D37"/>
    <mergeCell ref="A45:D45"/>
    <mergeCell ref="A49:D49"/>
    <mergeCell ref="A55:D55"/>
    <mergeCell ref="A58:D58"/>
    <mergeCell ref="A65:D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6"/>
  </cols>
  <sheetData>
    <row r="1" customFormat="false" ht="21.7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7" t="s">
        <v>52</v>
      </c>
      <c r="B3" s="14" t="n">
        <f aca="false">Assumptions!B8</f>
        <v>41250</v>
      </c>
    </row>
    <row r="5" customFormat="false" ht="15" hidden="false" customHeight="false" outlineLevel="0" collapsed="false">
      <c r="A5" s="5" t="s">
        <v>20</v>
      </c>
      <c r="B5" s="6" t="s">
        <v>53</v>
      </c>
      <c r="C5" s="6" t="s">
        <v>54</v>
      </c>
      <c r="D5" s="6" t="s">
        <v>29</v>
      </c>
      <c r="E5" s="6" t="s">
        <v>55</v>
      </c>
      <c r="F5" s="6" t="s">
        <v>32</v>
      </c>
      <c r="G5" s="6" t="s">
        <v>56</v>
      </c>
      <c r="H5" s="6" t="s">
        <v>57</v>
      </c>
      <c r="I5" s="6" t="s">
        <v>58</v>
      </c>
      <c r="J5" s="6" t="s">
        <v>59</v>
      </c>
    </row>
    <row r="6" customFormat="false" ht="15" hidden="false" customHeight="false" outlineLevel="0" collapsed="false">
      <c r="A6" s="7" t="s">
        <v>22</v>
      </c>
      <c r="B6" s="14" t="n">
        <f aca="false">$B$3*Assumptions!B14</f>
        <v>330</v>
      </c>
      <c r="C6" s="15" t="n">
        <f aca="false">Assumptions!B23</f>
        <v>175</v>
      </c>
      <c r="D6" s="15" t="n">
        <f aca="false">Assumptions!B30</f>
        <v>80</v>
      </c>
      <c r="E6" s="15" t="n">
        <f aca="false">C6+D6</f>
        <v>255</v>
      </c>
      <c r="F6" s="15" t="n">
        <f aca="false">Assumptions!B39</f>
        <v>115</v>
      </c>
      <c r="G6" s="16" t="n">
        <f aca="false">E6*Assumptions!$B$43</f>
        <v>12.75</v>
      </c>
      <c r="H6" s="16" t="n">
        <f aca="false">F6+G6</f>
        <v>127.75</v>
      </c>
      <c r="I6" s="16" t="n">
        <f aca="false">E6-H6</f>
        <v>127.25</v>
      </c>
      <c r="J6" s="17" t="n">
        <f aca="false">I6/E6</f>
        <v>0.499019607843137</v>
      </c>
    </row>
    <row r="7" customFormat="false" ht="15" hidden="false" customHeight="false" outlineLevel="0" collapsed="false">
      <c r="A7" s="7" t="s">
        <v>23</v>
      </c>
      <c r="B7" s="14" t="n">
        <f aca="false">$B$3*Assumptions!B15</f>
        <v>206.25</v>
      </c>
      <c r="C7" s="15" t="n">
        <f aca="false">Assumptions!B24</f>
        <v>195</v>
      </c>
      <c r="D7" s="15" t="n">
        <f aca="false">Assumptions!B31</f>
        <v>85</v>
      </c>
      <c r="E7" s="15" t="n">
        <f aca="false">C7+D7</f>
        <v>280</v>
      </c>
      <c r="F7" s="15" t="n">
        <f aca="false">Assumptions!B40</f>
        <v>130</v>
      </c>
      <c r="G7" s="16" t="n">
        <f aca="false">E7*Assumptions!$B$43</f>
        <v>14</v>
      </c>
      <c r="H7" s="16" t="n">
        <f aca="false">F7+G7</f>
        <v>144</v>
      </c>
      <c r="I7" s="16" t="n">
        <f aca="false">E7-H7</f>
        <v>136</v>
      </c>
      <c r="J7" s="17" t="n">
        <f aca="false">I7/E7</f>
        <v>0.485714285714286</v>
      </c>
    </row>
    <row r="8" customFormat="false" ht="15" hidden="false" customHeight="false" outlineLevel="0" collapsed="false">
      <c r="A8" s="7" t="s">
        <v>24</v>
      </c>
      <c r="B8" s="14" t="n">
        <f aca="false">$B$3*Assumptions!B16</f>
        <v>1650</v>
      </c>
      <c r="C8" s="15" t="n">
        <f aca="false">Assumptions!B25</f>
        <v>85</v>
      </c>
      <c r="D8" s="15" t="n">
        <f aca="false">Assumptions!B32</f>
        <v>95</v>
      </c>
      <c r="E8" s="15" t="n">
        <f aca="false">C8+D8</f>
        <v>180</v>
      </c>
      <c r="F8" s="15" t="n">
        <f aca="false">Assumptions!B41</f>
        <v>55</v>
      </c>
      <c r="G8" s="16" t="n">
        <f aca="false">E8*Assumptions!$B$43</f>
        <v>9</v>
      </c>
      <c r="H8" s="16" t="n">
        <f aca="false">F8+G8</f>
        <v>64</v>
      </c>
      <c r="I8" s="16" t="n">
        <f aca="false">E8-H8</f>
        <v>116</v>
      </c>
      <c r="J8" s="17" t="n">
        <f aca="false">I8/E8</f>
        <v>0.644444444444445</v>
      </c>
    </row>
    <row r="10" customFormat="false" ht="18" hidden="false" customHeight="true" outlineLevel="0" collapsed="false">
      <c r="A10" s="4" t="s">
        <v>60</v>
      </c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5" t="s">
        <v>20</v>
      </c>
      <c r="B11" s="6" t="s">
        <v>61</v>
      </c>
      <c r="C11" s="6" t="s">
        <v>62</v>
      </c>
      <c r="D11" s="6" t="s">
        <v>63</v>
      </c>
      <c r="E11" s="6"/>
      <c r="F11" s="6"/>
      <c r="G11" s="6"/>
      <c r="H11" s="6"/>
    </row>
    <row r="12" customFormat="false" ht="15" hidden="false" customHeight="false" outlineLevel="0" collapsed="false">
      <c r="A12" s="7" t="s">
        <v>22</v>
      </c>
      <c r="B12" s="15" t="n">
        <f aca="false">B6*E6*12</f>
        <v>1009800</v>
      </c>
      <c r="C12" s="15" t="n">
        <f aca="false">B6*H6*12</f>
        <v>505890</v>
      </c>
      <c r="D12" s="15" t="n">
        <f aca="false">B12-C12</f>
        <v>503910</v>
      </c>
    </row>
    <row r="13" customFormat="false" ht="15" hidden="false" customHeight="false" outlineLevel="0" collapsed="false">
      <c r="A13" s="7" t="s">
        <v>23</v>
      </c>
      <c r="B13" s="15" t="n">
        <f aca="false">B7*E7*12</f>
        <v>693000</v>
      </c>
      <c r="C13" s="15" t="n">
        <f aca="false">B7*H7*12</f>
        <v>356400</v>
      </c>
      <c r="D13" s="15" t="n">
        <f aca="false">B13-C13</f>
        <v>336600</v>
      </c>
    </row>
    <row r="14" customFormat="false" ht="15" hidden="false" customHeight="false" outlineLevel="0" collapsed="false">
      <c r="A14" s="7" t="s">
        <v>24</v>
      </c>
      <c r="B14" s="15" t="n">
        <f aca="false">B8*E8*12</f>
        <v>3564000</v>
      </c>
      <c r="C14" s="15" t="n">
        <f aca="false">B8*H8*12</f>
        <v>1267200</v>
      </c>
      <c r="D14" s="15" t="n">
        <f aca="false">B14-C14</f>
        <v>2296800</v>
      </c>
    </row>
    <row r="15" customFormat="false" ht="15" hidden="false" customHeight="false" outlineLevel="0" collapsed="false">
      <c r="A15" s="10" t="s">
        <v>64</v>
      </c>
      <c r="B15" s="18" t="n">
        <f aca="false">SUM(B12:B14)</f>
        <v>5266800</v>
      </c>
      <c r="C15" s="18" t="n">
        <f aca="false">SUM(C12:C14)</f>
        <v>2129490</v>
      </c>
      <c r="D15" s="18" t="n">
        <f aca="false">B15-C15</f>
        <v>3137310</v>
      </c>
    </row>
    <row r="16" customFormat="false" ht="15" hidden="false" customHeight="false" outlineLevel="0" collapsed="false">
      <c r="A16" s="10" t="s">
        <v>65</v>
      </c>
      <c r="B16" s="19" t="n">
        <f aca="false">D15/B15</f>
        <v>0.595676691729323</v>
      </c>
    </row>
    <row r="18" customFormat="false" ht="19.4" hidden="false" customHeight="true" outlineLevel="0" collapsed="false">
      <c r="A18" s="12" t="s">
        <v>66</v>
      </c>
      <c r="B18" s="12"/>
      <c r="C18" s="12"/>
      <c r="D18" s="12"/>
      <c r="E18" s="12"/>
      <c r="F18" s="12"/>
      <c r="G18" s="12"/>
    </row>
  </sheetData>
  <mergeCells count="3">
    <mergeCell ref="A1:G1"/>
    <mergeCell ref="A10:G10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5" min="3" style="0" width="20"/>
    <col collapsed="false" customWidth="true" hidden="false" outlineLevel="0" max="6" min="6" style="0" width="3"/>
  </cols>
  <sheetData>
    <row r="1" customFormat="false" ht="21.75" hidden="false" customHeight="true" outlineLevel="0" collapsed="false">
      <c r="A1" s="1" t="s">
        <v>67</v>
      </c>
      <c r="B1" s="1"/>
      <c r="C1" s="1"/>
      <c r="D1" s="1"/>
      <c r="E1" s="1"/>
    </row>
    <row r="3" customFormat="false" ht="18" hidden="false" customHeight="true" outlineLevel="0" collapsed="false">
      <c r="A3" s="4" t="s">
        <v>68</v>
      </c>
      <c r="B3" s="4"/>
      <c r="C3" s="4"/>
      <c r="D3" s="4"/>
      <c r="E3" s="4"/>
    </row>
    <row r="4" customFormat="false" ht="15" hidden="false" customHeight="false" outlineLevel="0" collapsed="false">
      <c r="A4" s="5" t="s">
        <v>69</v>
      </c>
      <c r="B4" s="6" t="s">
        <v>70</v>
      </c>
      <c r="C4" s="6" t="s">
        <v>47</v>
      </c>
      <c r="D4" s="6" t="s">
        <v>41</v>
      </c>
      <c r="E4" s="6" t="s">
        <v>48</v>
      </c>
    </row>
    <row r="5" customFormat="false" ht="15" hidden="false" customHeight="false" outlineLevel="0" collapsed="false">
      <c r="A5" s="7" t="s">
        <v>71</v>
      </c>
      <c r="B5" s="14" t="n">
        <f aca="false">Assumptions!B60</f>
        <v>2</v>
      </c>
      <c r="C5" s="20" t="n">
        <f aca="false">B5*Assumptions!B51</f>
        <v>0.4</v>
      </c>
      <c r="D5" s="20" t="n">
        <f aca="false">B5*Assumptions!$B$64*Assumptions!B52</f>
        <v>1.08</v>
      </c>
      <c r="E5" s="20" t="n">
        <f aca="false">B5*Assumptions!$B$64^2*Assumptions!B53</f>
        <v>1.62</v>
      </c>
    </row>
    <row r="6" customFormat="false" ht="15" hidden="false" customHeight="false" outlineLevel="0" collapsed="false">
      <c r="A6" s="7" t="s">
        <v>72</v>
      </c>
      <c r="B6" s="14" t="n">
        <f aca="false">Assumptions!B61</f>
        <v>6</v>
      </c>
      <c r="C6" s="20" t="n">
        <f aca="false">0</f>
        <v>0</v>
      </c>
      <c r="D6" s="20" t="n">
        <f aca="false">B6*Assumptions!B51</f>
        <v>1.2</v>
      </c>
      <c r="E6" s="20" t="n">
        <f aca="false">B6*Assumptions!$B$64*Assumptions!B52</f>
        <v>3.24</v>
      </c>
    </row>
    <row r="7" customFormat="false" ht="15" hidden="false" customHeight="false" outlineLevel="0" collapsed="false">
      <c r="A7" s="7" t="s">
        <v>73</v>
      </c>
      <c r="B7" s="14" t="n">
        <f aca="false">Assumptions!B62</f>
        <v>10</v>
      </c>
      <c r="C7" s="20" t="n">
        <f aca="false">0</f>
        <v>0</v>
      </c>
      <c r="D7" s="20" t="n">
        <f aca="false">0</f>
        <v>0</v>
      </c>
      <c r="E7" s="20" t="n">
        <f aca="false">B7*Assumptions!B51</f>
        <v>2</v>
      </c>
    </row>
    <row r="8" customFormat="false" ht="15" hidden="false" customHeight="false" outlineLevel="0" collapsed="false">
      <c r="A8" s="10" t="s">
        <v>74</v>
      </c>
      <c r="C8" s="21" t="n">
        <f aca="false">SUM(C5:C7)</f>
        <v>0.4</v>
      </c>
      <c r="D8" s="21" t="n">
        <f aca="false">SUM(D5:D7)</f>
        <v>2.28</v>
      </c>
      <c r="E8" s="21" t="n">
        <f aca="false">SUM(E5:E7)</f>
        <v>6.86</v>
      </c>
    </row>
    <row r="10" customFormat="false" ht="18" hidden="false" customHeight="true" outlineLevel="0" collapsed="false">
      <c r="A10" s="4" t="s">
        <v>75</v>
      </c>
      <c r="B10" s="4"/>
      <c r="C10" s="4"/>
      <c r="D10" s="4"/>
      <c r="E10" s="4"/>
    </row>
    <row r="11" customFormat="false" ht="15" hidden="false" customHeight="false" outlineLevel="0" collapsed="false">
      <c r="A11" s="5"/>
      <c r="B11" s="6"/>
      <c r="C11" s="6" t="s">
        <v>47</v>
      </c>
      <c r="D11" s="6" t="s">
        <v>41</v>
      </c>
      <c r="E11" s="6" t="s">
        <v>48</v>
      </c>
    </row>
    <row r="12" customFormat="false" ht="15" hidden="false" customHeight="false" outlineLevel="0" collapsed="false">
      <c r="A12" s="7" t="s">
        <v>76</v>
      </c>
      <c r="C12" s="22" t="n">
        <f aca="false">B5</f>
        <v>2</v>
      </c>
      <c r="D12" s="22" t="n">
        <f aca="false">B5*Assumptions!$B$64+B6</f>
        <v>7.8</v>
      </c>
      <c r="E12" s="22" t="n">
        <f aca="false">(B5*Assumptions!$B$64+B6)*Assumptions!$B$64+B7</f>
        <v>17.02</v>
      </c>
    </row>
    <row r="13" customFormat="false" ht="15" hidden="false" customHeight="false" outlineLevel="0" collapsed="false">
      <c r="A13" s="7" t="s">
        <v>77</v>
      </c>
      <c r="C13" s="14" t="n">
        <f aca="false">C12*Assumptions!B8</f>
        <v>82500</v>
      </c>
      <c r="D13" s="14" t="n">
        <f aca="false">D12*Assumptions!B8</f>
        <v>321750</v>
      </c>
      <c r="E13" s="14" t="n">
        <f aca="false">E12*Assumptions!B8</f>
        <v>702075</v>
      </c>
    </row>
    <row r="15" customFormat="false" ht="18" hidden="false" customHeight="true" outlineLevel="0" collapsed="false">
      <c r="A15" s="4" t="s">
        <v>78</v>
      </c>
      <c r="B15" s="4"/>
      <c r="C15" s="4"/>
      <c r="D15" s="4"/>
      <c r="E15" s="4"/>
    </row>
    <row r="16" customFormat="false" ht="15" hidden="false" customHeight="false" outlineLevel="0" collapsed="false">
      <c r="A16" s="5"/>
      <c r="B16" s="6"/>
      <c r="C16" s="6" t="s">
        <v>47</v>
      </c>
      <c r="D16" s="6" t="s">
        <v>41</v>
      </c>
      <c r="E16" s="6" t="s">
        <v>48</v>
      </c>
    </row>
    <row r="17" customFormat="false" ht="15" hidden="false" customHeight="false" outlineLevel="0" collapsed="false">
      <c r="A17" s="7" t="s">
        <v>79</v>
      </c>
      <c r="C17" s="15" t="n">
        <f aca="false">C8*'Segment Unit Economics'!$B$15</f>
        <v>2106720</v>
      </c>
      <c r="D17" s="15" t="n">
        <f aca="false">D8*'Segment Unit Economics'!$B$15</f>
        <v>12008304</v>
      </c>
      <c r="E17" s="15" t="n">
        <f aca="false">E8*'Segment Unit Economics'!$B$15</f>
        <v>36130248</v>
      </c>
    </row>
    <row r="18" customFormat="false" ht="15" hidden="false" customHeight="false" outlineLevel="0" collapsed="false">
      <c r="A18" s="7" t="s">
        <v>80</v>
      </c>
      <c r="C18" s="15" t="n">
        <f aca="false">C8*'Segment Unit Economics'!$C$15</f>
        <v>851796</v>
      </c>
      <c r="D18" s="15" t="n">
        <f aca="false">D8*'Segment Unit Economics'!$C$15</f>
        <v>4855237.2</v>
      </c>
      <c r="E18" s="15" t="n">
        <f aca="false">E8*'Segment Unit Economics'!$C$15</f>
        <v>14608301.4</v>
      </c>
    </row>
    <row r="19" customFormat="false" ht="15" hidden="false" customHeight="false" outlineLevel="0" collapsed="false">
      <c r="A19" s="7" t="s">
        <v>81</v>
      </c>
      <c r="C19" s="15" t="n">
        <f aca="false">B5*Assumptions!$B$46</f>
        <v>70000</v>
      </c>
      <c r="D19" s="15" t="n">
        <f aca="false">B6*Assumptions!$B$46</f>
        <v>210000</v>
      </c>
      <c r="E19" s="15" t="n">
        <f aca="false">B7*Assumptions!$B$46</f>
        <v>350000</v>
      </c>
    </row>
    <row r="20" customFormat="false" ht="15" hidden="false" customHeight="false" outlineLevel="0" collapsed="false">
      <c r="A20" s="7" t="s">
        <v>82</v>
      </c>
      <c r="C20" s="15" t="n">
        <f aca="false">C19*(1-Assumptions!$B$47)</f>
        <v>24500</v>
      </c>
      <c r="D20" s="15" t="n">
        <f aca="false">D19*(1-Assumptions!$B$47)</f>
        <v>73500</v>
      </c>
      <c r="E20" s="15" t="n">
        <f aca="false">E19*(1-Assumptions!$B$47)</f>
        <v>122500</v>
      </c>
    </row>
    <row r="21" customFormat="false" ht="15" hidden="false" customHeight="false" outlineLevel="0" collapsed="false">
      <c r="A21" s="10" t="s">
        <v>83</v>
      </c>
      <c r="C21" s="18" t="n">
        <f aca="false">C17+C19</f>
        <v>2176720</v>
      </c>
      <c r="D21" s="18" t="n">
        <f aca="false">D17+D19</f>
        <v>12218304</v>
      </c>
      <c r="E21" s="18" t="n">
        <f aca="false">E17+E19</f>
        <v>36480248</v>
      </c>
    </row>
    <row r="22" customFormat="false" ht="15" hidden="false" customHeight="false" outlineLevel="0" collapsed="false">
      <c r="A22" s="10" t="s">
        <v>84</v>
      </c>
      <c r="C22" s="18" t="n">
        <f aca="false">C18+C20</f>
        <v>876296</v>
      </c>
      <c r="D22" s="18" t="n">
        <f aca="false">D18+D20</f>
        <v>4928737.2</v>
      </c>
      <c r="E22" s="18" t="n">
        <f aca="false">E18+E20</f>
        <v>14730801.4</v>
      </c>
    </row>
    <row r="23" customFormat="false" ht="15" hidden="false" customHeight="false" outlineLevel="0" collapsed="false">
      <c r="A23" s="10" t="s">
        <v>85</v>
      </c>
      <c r="C23" s="18" t="n">
        <f aca="false">C21-C22</f>
        <v>1300424</v>
      </c>
      <c r="D23" s="18" t="n">
        <f aca="false">D21-D22</f>
        <v>7289566.8</v>
      </c>
      <c r="E23" s="18" t="n">
        <f aca="false">E21-E22</f>
        <v>21749446.6</v>
      </c>
    </row>
    <row r="24" customFormat="false" ht="15" hidden="false" customHeight="false" outlineLevel="0" collapsed="false">
      <c r="A24" s="10" t="s">
        <v>86</v>
      </c>
      <c r="C24" s="19" t="n">
        <f aca="false">C23/C21</f>
        <v>0.597423646587526</v>
      </c>
      <c r="D24" s="19" t="n">
        <f aca="false">D23/D21</f>
        <v>0.5966103642535</v>
      </c>
      <c r="E24" s="19" t="n">
        <f aca="false">E23/E21</f>
        <v>0.59619788220738</v>
      </c>
    </row>
    <row r="26" customFormat="false" ht="19.4" hidden="false" customHeight="true" outlineLevel="0" collapsed="false">
      <c r="A26" s="12" t="s">
        <v>87</v>
      </c>
      <c r="B26" s="12"/>
      <c r="C26" s="12"/>
      <c r="D26" s="12"/>
      <c r="E26" s="12"/>
    </row>
  </sheetData>
  <mergeCells count="5">
    <mergeCell ref="A1:E1"/>
    <mergeCell ref="A3:E3"/>
    <mergeCell ref="A10:E10"/>
    <mergeCell ref="A15:E15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3"/>
  </cols>
  <sheetData>
    <row r="1" customFormat="false" ht="21.75" hidden="false" customHeight="true" outlineLevel="0" collapsed="false">
      <c r="A1" s="1" t="s">
        <v>88</v>
      </c>
      <c r="B1" s="1"/>
      <c r="C1" s="1"/>
      <c r="D1" s="1"/>
    </row>
    <row r="3" customFormat="false" ht="15" hidden="false" customHeight="false" outlineLevel="0" collapsed="false">
      <c r="A3" s="5"/>
      <c r="B3" s="6" t="s">
        <v>47</v>
      </c>
      <c r="C3" s="6" t="s">
        <v>41</v>
      </c>
      <c r="D3" s="6" t="s">
        <v>48</v>
      </c>
    </row>
    <row r="4" customFormat="false" ht="15" hidden="false" customHeight="false" outlineLevel="0" collapsed="false">
      <c r="A4" s="7" t="s">
        <v>89</v>
      </c>
      <c r="B4" s="22" t="n">
        <f aca="false">'3-Year Build'!C12</f>
        <v>2</v>
      </c>
      <c r="C4" s="22" t="n">
        <f aca="false">'3-Year Build'!D12</f>
        <v>7.8</v>
      </c>
      <c r="D4" s="22" t="n">
        <f aca="false">'3-Year Build'!E12</f>
        <v>17.02</v>
      </c>
    </row>
    <row r="6" customFormat="false" ht="15" hidden="false" customHeight="false" outlineLevel="0" collapsed="false">
      <c r="A6" s="7" t="s">
        <v>77</v>
      </c>
      <c r="B6" s="14" t="n">
        <f aca="false">'3-Year Build'!C13</f>
        <v>82500</v>
      </c>
      <c r="C6" s="14" t="n">
        <f aca="false">'3-Year Build'!D13</f>
        <v>321750</v>
      </c>
      <c r="D6" s="14" t="n">
        <f aca="false">'3-Year Build'!E13</f>
        <v>702075</v>
      </c>
    </row>
    <row r="8" customFormat="false" ht="15" hidden="false" customHeight="false" outlineLevel="0" collapsed="false">
      <c r="A8" s="10" t="s">
        <v>90</v>
      </c>
      <c r="B8" s="18" t="n">
        <f aca="false">'3-Year Build'!C21</f>
        <v>2176720</v>
      </c>
      <c r="C8" s="18" t="n">
        <f aca="false">'3-Year Build'!D21</f>
        <v>12218304</v>
      </c>
      <c r="D8" s="18" t="n">
        <f aca="false">'3-Year Build'!E21</f>
        <v>36480248</v>
      </c>
    </row>
    <row r="10" customFormat="false" ht="15" hidden="false" customHeight="false" outlineLevel="0" collapsed="false">
      <c r="A10" s="7" t="s">
        <v>91</v>
      </c>
      <c r="B10" s="15" t="n">
        <f aca="false">'3-Year Build'!C22</f>
        <v>876296</v>
      </c>
      <c r="C10" s="15" t="n">
        <f aca="false">'3-Year Build'!D22</f>
        <v>4928737.2</v>
      </c>
      <c r="D10" s="15" t="n">
        <f aca="false">'3-Year Build'!E22</f>
        <v>14730801.4</v>
      </c>
    </row>
    <row r="12" customFormat="false" ht="15" hidden="false" customHeight="false" outlineLevel="0" collapsed="false">
      <c r="A12" s="10" t="s">
        <v>92</v>
      </c>
      <c r="B12" s="18" t="n">
        <f aca="false">'3-Year Build'!C23</f>
        <v>1300424</v>
      </c>
      <c r="C12" s="18" t="n">
        <f aca="false">'3-Year Build'!D23</f>
        <v>7289566.8</v>
      </c>
      <c r="D12" s="18" t="n">
        <f aca="false">'3-Year Build'!E23</f>
        <v>21749446.6</v>
      </c>
    </row>
    <row r="14" customFormat="false" ht="15" hidden="false" customHeight="false" outlineLevel="0" collapsed="false">
      <c r="A14" s="7" t="s">
        <v>86</v>
      </c>
      <c r="B14" s="17" t="n">
        <f aca="false">'3-Year Build'!C24</f>
        <v>0.597423646587526</v>
      </c>
      <c r="C14" s="17" t="n">
        <f aca="false">'3-Year Build'!D24</f>
        <v>0.5966103642535</v>
      </c>
      <c r="D14" s="17" t="n">
        <f aca="false">'3-Year Build'!E24</f>
        <v>0.59619788220738</v>
      </c>
    </row>
    <row r="17" customFormat="false" ht="19.4" hidden="false" customHeight="true" outlineLevel="0" collapsed="false">
      <c r="A17" s="12" t="s">
        <v>93</v>
      </c>
      <c r="B17" s="12"/>
      <c r="C17" s="12"/>
      <c r="D17" s="12"/>
    </row>
  </sheetData>
  <mergeCells count="2">
    <mergeCell ref="A1:D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2026-08-03T20:44:30Z</dcterms:created>
  <dc:creator>openpyxl</dc:creator>
  <dc:description/>
  <dc:language>en-US</dc:language>
  <cp:lastModifiedBy/>
  <dcterms:modified xsi:type="dcterms:W3CDTF">2026-08-03T20:44:31Z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